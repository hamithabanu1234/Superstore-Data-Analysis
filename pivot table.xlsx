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2a0dc999cf739/Documents/"/>
    </mc:Choice>
  </mc:AlternateContent>
  <xr:revisionPtr revIDLastSave="0" documentId="8_{E2F568F2-6BAD-44CF-9F57-35BCDBEB1E5F}" xr6:coauthVersionLast="47" xr6:coauthVersionMax="47" xr10:uidLastSave="{00000000-0000-0000-0000-000000000000}"/>
  <bookViews>
    <workbookView xWindow="-108" yWindow="-108" windowWidth="23256" windowHeight="12456" activeTab="1" xr2:uid="{56BE0541-5BA5-46AF-8FE2-4CF6D0203BB1}"/>
  </bookViews>
  <sheets>
    <sheet name="Sheet2" sheetId="3" r:id="rId1"/>
    <sheet name="Sheet3" sheetId="4" r:id="rId2"/>
  </sheets>
  <definedNames>
    <definedName name="book">#REF!</definedName>
  </definedNames>
  <calcPr calcId="191029"/>
  <pivotCaches>
    <pivotCache cacheId="12" r:id="rId3"/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EC8B7-F777-47E8-8612-D0D786AF1D7B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<sst xmlns="http://schemas.openxmlformats.org/spreadsheetml/2006/main" count="28" uniqueCount="25">
  <si>
    <t>Bookcases</t>
  </si>
  <si>
    <t>Binders</t>
  </si>
  <si>
    <t>Phones</t>
  </si>
  <si>
    <t>Art</t>
  </si>
  <si>
    <t>Paper</t>
  </si>
  <si>
    <t>Envelopes</t>
  </si>
  <si>
    <t>Storage</t>
  </si>
  <si>
    <t>Furnishings</t>
  </si>
  <si>
    <t>Appliances</t>
  </si>
  <si>
    <t>Tables</t>
  </si>
  <si>
    <t>Labels</t>
  </si>
  <si>
    <t>Accessories</t>
  </si>
  <si>
    <t>Chairs</t>
  </si>
  <si>
    <t>Machines</t>
  </si>
  <si>
    <t>Fasteners</t>
  </si>
  <si>
    <t>Supplies</t>
  </si>
  <si>
    <t>Copiers</t>
  </si>
  <si>
    <t>Row Labels</t>
  </si>
  <si>
    <t>Grand Total</t>
  </si>
  <si>
    <t>Sum of Profit</t>
  </si>
  <si>
    <t>Sum of Sales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</si>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</sst>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table.xlsx]Sheet2!PivotTable1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694.11059999999998</c:v>
                </c:pt>
                <c:pt idx="1">
                  <c:v>-394.40979999999996</c:v>
                </c:pt>
                <c:pt idx="2">
                  <c:v>223.26180000000005</c:v>
                </c:pt>
                <c:pt idx="3">
                  <c:v>47.588700000000081</c:v>
                </c:pt>
                <c:pt idx="4">
                  <c:v>139.37220000000002</c:v>
                </c:pt>
                <c:pt idx="5">
                  <c:v>54.743600000000001</c:v>
                </c:pt>
                <c:pt idx="6">
                  <c:v>374.99250000000001</c:v>
                </c:pt>
                <c:pt idx="7">
                  <c:v>129.63980000000001</c:v>
                </c:pt>
                <c:pt idx="8">
                  <c:v>8.2044999999999995</c:v>
                </c:pt>
                <c:pt idx="9">
                  <c:v>55.083399999999997</c:v>
                </c:pt>
                <c:pt idx="10">
                  <c:v>121.0988</c:v>
                </c:pt>
                <c:pt idx="11">
                  <c:v>-4205.4564000000009</c:v>
                </c:pt>
                <c:pt idx="12">
                  <c:v>650.88909999999998</c:v>
                </c:pt>
                <c:pt idx="13">
                  <c:v>1623.3248000000001</c:v>
                </c:pt>
                <c:pt idx="14">
                  <c:v>102.58369999999999</c:v>
                </c:pt>
                <c:pt idx="15">
                  <c:v>17.725200000000001</c:v>
                </c:pt>
                <c:pt idx="16">
                  <c:v>-173.12919999999997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7-443F-B35E-CD5FCE44F50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Sheet2!$C$4:$C$21</c:f>
              <c:numCache>
                <c:formatCode>General</c:formatCode>
                <c:ptCount val="17"/>
                <c:pt idx="0">
                  <c:v>1989.6519999999996</c:v>
                </c:pt>
                <c:pt idx="1">
                  <c:v>2291.0040000000004</c:v>
                </c:pt>
                <c:pt idx="2">
                  <c:v>1575.1239999999998</c:v>
                </c:pt>
                <c:pt idx="3">
                  <c:v>4030.904</c:v>
                </c:pt>
                <c:pt idx="4">
                  <c:v>774.90000000000009</c:v>
                </c:pt>
                <c:pt idx="5">
                  <c:v>1378.3049999999998</c:v>
                </c:pt>
                <c:pt idx="6">
                  <c:v>1199.9760000000001</c:v>
                </c:pt>
                <c:pt idx="7">
                  <c:v>397.512</c:v>
                </c:pt>
                <c:pt idx="8">
                  <c:v>21.31</c:v>
                </c:pt>
                <c:pt idx="9">
                  <c:v>939.83799999999997</c:v>
                </c:pt>
                <c:pt idx="10">
                  <c:v>256.35399999999998</c:v>
                </c:pt>
                <c:pt idx="11">
                  <c:v>9178.02</c:v>
                </c:pt>
                <c:pt idx="12">
                  <c:v>1453.1720000000005</c:v>
                </c:pt>
                <c:pt idx="13">
                  <c:v>10282.342000000001</c:v>
                </c:pt>
                <c:pt idx="14">
                  <c:v>1141.0640000000001</c:v>
                </c:pt>
                <c:pt idx="15">
                  <c:v>104.40400000000001</c:v>
                </c:pt>
                <c:pt idx="16">
                  <c:v>4529.3870000000006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7-443F-B35E-CD5FCE44F50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56547200"/>
        <c:axId val="356542880"/>
      </c:barChart>
      <c:catAx>
        <c:axId val="35654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42880"/>
        <c:crosses val="autoZero"/>
        <c:auto val="1"/>
        <c:lblAlgn val="ctr"/>
        <c:lblOffset val="100"/>
        <c:noMultiLvlLbl val="0"/>
      </c:catAx>
      <c:valAx>
        <c:axId val="35654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Sheet3!$A$4:$A$8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4381.4360000000006</c:v>
                </c:pt>
                <c:pt idx="1">
                  <c:v>7444.7639999999992</c:v>
                </c:pt>
                <c:pt idx="2">
                  <c:v>8795.746000000001</c:v>
                </c:pt>
                <c:pt idx="3">
                  <c:v>20921.321999999993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0-4BF0-B183-AF0866A89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87630</xdr:rowOff>
    </xdr:from>
    <xdr:to>
      <xdr:col>9</xdr:col>
      <xdr:colOff>899160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0E766-9CB9-4ADB-9876-52633CDFF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163830</xdr:rowOff>
    </xdr:from>
    <xdr:to>
      <xdr:col>9</xdr:col>
      <xdr:colOff>228600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B7F6A-0E68-55C4-8E1E-466763F64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cle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00" refreshedDate="45778.872867939812" createdVersion="8" refreshedVersion="8" minRefreshableVersion="3" recordCount="176" xr:uid="{10AA619E-865B-45BE-B9D0-E3138C38CC04}">
  <cacheSource type="worksheet">
    <worksheetSource name="Sample___Superstore"/>
  </cacheSource>
  <cacheFields count="21">
    <cacheField name="Row ID" numFmtId="0">
      <sharedItems containsSemiMixedTypes="0" containsString="0" containsNumber="1" containsInteger="1" minValue="1" maxValue="5888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11T00:00:00"/>
    </cacheField>
    <cacheField name="Ship Date" numFmtId="14">
      <sharedItems containsSemiMixedTypes="0" containsNonDate="0" containsDate="1" containsString="0" minDate="2014-03-02T00:00:00" maxDate="2017-12-1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164">
      <sharedItems containsSemiMixedTypes="0" containsString="0" containsNumber="1" containsInteger="1" minValue="1852" maxValue="98270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Binders"/>
        <s v="Phones"/>
        <s v="Art"/>
        <s v="Paper"/>
        <s v="Envelopes"/>
        <s v="Storage"/>
        <s v="Furnishings"/>
        <s v="Appliances"/>
        <s v="Tables"/>
        <s v="Labels"/>
        <s v="Accessories"/>
        <s v="Chairs"/>
        <s v="Machines"/>
        <s v="Fasteners"/>
        <s v="Suppli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1.1120000000000001" maxValue="7999.98" count="171">
        <n v="261.95999999999998"/>
        <n v="407.976"/>
        <n v="1097.5440000000001"/>
        <n v="1113.0239999999999"/>
        <n v="75.88"/>
        <n v="1.248"/>
        <n v="200.98400000000001"/>
        <n v="158.36799999999999"/>
        <n v="5.6820000000000004"/>
        <n v="96.53"/>
        <n v="77.88"/>
        <n v="23.92"/>
        <n v="75.959999999999994"/>
        <n v="787.53"/>
        <n v="157.79400000000001"/>
        <n v="2.3879999999999999"/>
        <n v="59.97"/>
        <n v="82.8"/>
        <n v="384.45"/>
        <n v="5.98"/>
        <n v="27.68"/>
        <n v="9.9359999999999999"/>
        <n v="20.94"/>
        <n v="24.815999999999999"/>
        <n v="218.75"/>
        <n v="35.167999999999999"/>
        <n v="83.92"/>
        <n v="23.68"/>
        <n v="25.92"/>
        <n v="20.37"/>
        <n v="1.6240000000000001"/>
        <n v="1038.8399999999999"/>
        <n v="26.8"/>
        <n v="45.48"/>
        <n v="135.88200000000001"/>
        <n v="15.992000000000001"/>
        <n v="4.7519999999999998"/>
        <n v="7.56"/>
        <n v="647.84"/>
        <n v="482.34"/>
        <n v="12.462"/>
        <n v="35.951999999999998"/>
        <n v="179.95"/>
        <n v="139.86000000000001"/>
        <n v="6.6719999999999997"/>
        <n v="59.52"/>
        <n v="340.92"/>
        <n v="9.09"/>
        <n v="36.335999999999999"/>
        <n v="190.72"/>
        <n v="47.94"/>
        <n v="42.616"/>
        <n v="152.94"/>
        <n v="468.9"/>
        <n v="19.456"/>
        <n v="3.96"/>
        <n v="374.37599999999998"/>
        <n v="91.84"/>
        <n v="8.82"/>
        <n v="70.98"/>
        <n v="392.94"/>
        <n v="23.76"/>
        <n v="61.44"/>
        <n v="7999.98"/>
        <n v="479.97"/>
        <n v="119.96"/>
        <n v="24.448"/>
        <n v="59.808"/>
        <n v="45.584000000000003"/>
        <n v="182.72"/>
        <n v="11.784000000000001"/>
        <n v="58.05"/>
        <n v="1199.9760000000001"/>
        <n v="32.07"/>
        <n v="9.6639999999999997"/>
        <n v="37.44"/>
        <n v="48.896000000000001"/>
        <n v="115.36"/>
        <n v="39.96"/>
        <n v="44.91"/>
        <n v="1141.47"/>
        <n v="155.82"/>
        <n v="15.648"/>
        <n v="8.9039999999999999"/>
        <n v="1199.8"/>
        <n v="149.352"/>
        <n v="46.2"/>
        <n v="12.192"/>
        <n v="25.472000000000001"/>
        <n v="9.82"/>
        <n v="1.1120000000000001"/>
        <n v="7.08"/>
        <n v="13.96"/>
        <n v="31.86"/>
        <n v="8.84"/>
        <n v="168.464"/>
        <n v="11.16"/>
        <n v="644.07600000000002"/>
        <n v="53.94"/>
        <n v="9.99"/>
        <n v="271.95999999999998"/>
        <n v="6.57"/>
        <n v="12.48"/>
        <n v="86.352000000000004"/>
        <n v="114.95"/>
        <n v="23.99"/>
        <n v="72.8"/>
        <n v="10.816000000000001"/>
        <n v="2.97"/>
        <n v="25.11"/>
        <n v="695.7"/>
        <n v="258.279"/>
        <n v="79.14"/>
        <n v="49.08"/>
        <n v="83.951999999999998"/>
        <n v="80.98"/>
        <n v="9.5519999999999996"/>
        <n v="21.8"/>
        <n v="13.76"/>
        <n v="1212.848"/>
        <n v="10.192"/>
        <n v="6.72"/>
        <n v="206.11199999999999"/>
        <n v="82.896000000000001"/>
        <n v="11.352"/>
        <n v="196.62"/>
        <n v="12.35"/>
        <n v="35.06"/>
        <n v="1127.9760000000001"/>
        <n v="34.65"/>
        <n v="1793.98"/>
        <n v="863.64"/>
        <n v="19.968"/>
        <n v="294.62"/>
        <n v="159.98400000000001"/>
        <n v="19.751999999999999"/>
        <n v="485.94"/>
        <n v="5"/>
        <n v="7.968"/>
        <n v="14.352"/>
        <n v="892.98"/>
        <n v="280.79199999999997"/>
        <n v="6.48"/>
        <n v="7.52"/>
        <n v="1322.3520000000001"/>
        <n v="166.44"/>
        <n v="30.352"/>
        <n v="14.45"/>
        <n v="35.340000000000003"/>
        <n v="8.2260000000000009"/>
        <n v="32.192"/>
        <n v="207.48"/>
        <n v="26.88"/>
        <n v="258.52800000000002"/>
        <n v="93.024000000000001"/>
        <n v="219.8"/>
        <n v="111.672"/>
        <n v="70.88"/>
        <n v="10.368"/>
        <n v="69.52"/>
        <n v="26.38"/>
        <n v="98.111999999999995"/>
        <n v="512.94000000000005"/>
        <n v="319.95999999999998"/>
        <n v="95.84"/>
        <n v="268.935"/>
        <n v="25.344000000000001"/>
        <n v="48.712000000000003"/>
        <n v="3.3119999999999998"/>
        <n v="2479.96"/>
        <n v="42.76"/>
      </sharedItems>
    </cacheField>
    <cacheField name="Quantity" numFmtId="0">
      <sharedItems containsSemiMixedTypes="0" containsString="0" containsNumber="1" containsInteger="1" minValue="1" maxValue="11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843.17060000000004" count="175">
        <n v="41.913600000000002"/>
        <n v="132.59219999999999"/>
        <n v="123.47369999999999"/>
        <n v="111.30240000000001"/>
        <n v="35.663600000000002"/>
        <n v="-1.9343999999999999"/>
        <n v="62.807499999999997"/>
        <n v="13.857200000000001"/>
        <n v="-3.7879999999999998"/>
        <n v="40.5426"/>
        <n v="22.5852"/>
        <n v="11.720800000000001"/>
        <n v="22.788"/>
        <n v="165.38130000000001"/>
        <n v="-115.71559999999999"/>
        <n v="-1.8308"/>
        <n v="-11.994"/>
        <n v="10.35"/>
        <n v="103.8015"/>
        <n v="2.6909999999999998"/>
        <n v="9.6880000000000006"/>
        <n v="2.7324000000000002"/>
        <n v="9.8417999999999992"/>
        <n v="1.8612"/>
        <n v="-161.875"/>
        <n v="9.6712000000000007"/>
        <n v="5.8743999999999996"/>
        <n v="8.8800000000000008"/>
        <n v="9.3960000000000008"/>
        <n v="6.9257999999999997"/>
        <n v="-4.4660000000000002"/>
        <n v="51.942"/>
        <n v="12.864000000000001"/>
        <n v="20.9208"/>
        <n v="24.1568"/>
        <n v="0.99950000000000006"/>
        <n v="1.6037999999999999"/>
        <n v="3.0996000000000001"/>
        <n v="168.4384"/>
        <n v="-337.63799999999998"/>
        <n v="-20.5623"/>
        <n v="3.5952000000000002"/>
        <n v="37.789499999999997"/>
        <n v="65.734200000000001"/>
        <n v="0.50039999999999996"/>
        <n v="15.475199999999999"/>
        <n v="3.4091999999999998"/>
        <n v="1.9089"/>
        <n v="-7.2671999999999999"/>
        <n v="11.92"/>
        <n v="2.3969999999999998"/>
        <n v="-68.185599999999994"/>
        <n v="41.293799999999997"/>
        <n v="206.316"/>
        <n v="3.4047999999999998"/>
        <n v="0"/>
        <n v="46.796999999999997"/>
        <n v="45.001600000000003"/>
        <n v="2.3814000000000002"/>
        <n v="4.9686000000000003"/>
        <n v="43.223399999999998"/>
        <n v="2.0790000000000002"/>
        <n v="16.588799999999999"/>
        <n v="-3839.9904000000001"/>
        <n v="163.18979999999999"/>
        <n v="52.782400000000003"/>
        <n v="8.8623999999999992"/>
        <n v="19.4376"/>
        <n v="5.1281999999999996"/>
        <n v="84.051199999999994"/>
        <n v="4.2717000000000001"/>
        <n v="26.702999999999999"/>
        <n v="374.99250000000001"/>
        <n v="-22.449000000000002"/>
        <n v="3.2616000000000001"/>
        <n v="11.7"/>
        <n v="8.5568000000000008"/>
        <n v="49.604799999999997"/>
        <n v="18.781199999999998"/>
        <n v="-35.927999999999997"/>
        <n v="-760.98"/>
        <n v="42.071399999999997"/>
        <n v="5.0856000000000003"/>
        <n v="-6.5296000000000003"/>
        <n v="323.94600000000003"/>
        <n v="50.406300000000002"/>
        <n v="12.936"/>
        <n v="4.1147999999999998"/>
        <n v="7.6416000000000004"/>
        <n v="4.8117999999999999"/>
        <n v="-1.8904000000000001"/>
        <n v="2.4780000000000002"/>
        <n v="6.7008000000000001"/>
        <n v="11.151"/>
        <n v="2.9834999999999998"/>
        <n v="-29.481200000000001"/>
        <n v="4.3524000000000003"/>
        <n v="107.346"/>
        <n v="15.6426"/>
        <n v="4.5953999999999997"/>
        <n v="16.997499999999999"/>
        <n v="1.7739"/>
        <n v="5.6159999999999997"/>
        <n v="5.3970000000000002"/>
        <n v="2.2989999999999999"/>
        <n v="5.5176999999999996"/>
        <n v="19.655999999999999"/>
        <n v="3.5152000000000001"/>
        <n v="-0.64349999999999996"/>
        <n v="6.5286"/>
        <n v="-27.827999999999999"/>
        <n v="-70.104299999999995"/>
        <n v="36.404400000000003"/>
        <n v="4.9080000000000004"/>
        <n v="-90.248400000000004"/>
        <n v="1.6195999999999999"/>
        <n v="1.5522"/>
        <n v="6.1040000000000001"/>
        <n v="6.3296000000000001"/>
        <n v="106.1242"/>
        <n v="3.1850000000000001"/>
        <n v="3.36"/>
        <n v="48.951599999999999"/>
        <n v="29.0136"/>
        <n v="4.1151"/>
        <n v="96.343800000000002"/>
        <n v="5.8045"/>
        <n v="10.518000000000001"/>
        <n v="126.8973"/>
        <n v="10.395"/>
        <n v="843.17060000000004"/>
        <n v="107.955"/>
        <n v="-13.311999999999999"/>
        <n v="-766.01199999999994"/>
        <n v="35.996400000000001"/>
        <n v="6.9131999999999998"/>
        <n v="-89.088999999999999"/>
        <n v="2.4"/>
        <n v="2.6892"/>
        <n v="5.2026000000000003"/>
        <n v="80.368200000000002"/>
        <n v="35.098999999999997"/>
        <n v="3.1103999999999998"/>
        <n v="2.6320000000000001"/>
        <n v="-99.176400000000001"/>
        <n v="12.441599999999999"/>
        <n v="79.891199999999998"/>
        <n v="10.623200000000001"/>
        <n v="6.7915000000000001"/>
        <n v="13.4292"/>
        <n v="-6.0324"/>
        <n v="-80.48"/>
        <n v="2.3519999999999999"/>
        <n v="62.244"/>
        <n v="9.7439999999999998"/>
        <n v="-47.396799999999999"/>
        <n v="33.721200000000003"/>
        <n v="24.727499999999999"/>
        <n v="6.9794999999999998"/>
        <n v="33.313600000000001"/>
        <n v="3.6288"/>
        <n v="19.465599999999998"/>
        <n v="12.1348"/>
        <n v="18.396000000000001"/>
        <n v="97.458600000000004"/>
        <n v="115.18559999999999"/>
        <n v="34.741999999999997"/>
        <n v="-209.76929999999999"/>
        <n v="9.1872000000000007"/>
        <n v="5.4801000000000002"/>
        <n v="8.3523999999999994"/>
        <n v="9.0719999999999992"/>
        <n v="0.66239999999999999"/>
        <n v="743.98800000000006"/>
        <n v="11.1175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00" refreshedDate="45778.879082638887" createdVersion="8" refreshedVersion="8" minRefreshableVersion="3" recordCount="177" xr:uid="{053AB7FE-C5F6-4143-BE46-40899252D658}">
  <cacheSource type="worksheet">
    <worksheetSource ref="A1:U1048576" sheet="Sample - Superstore" r:id="rId2"/>
  </cacheSource>
  <cacheFields count="27">
    <cacheField name="Row ID" numFmtId="0">
      <sharedItems containsString="0" containsBlank="1" containsNumber="1" containsInteger="1" minValue="1" maxValue="5888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2T00:00:00" maxDate="2017-12-11T00:00:00" count="134">
        <d v="2016-08-11T00:00:00"/>
        <d v="2016-05-12T00:00:00"/>
        <d v="2016-08-12T00:00:00"/>
        <d v="2014-05-12T00:00:00"/>
        <d v="2016-04-06T00:00:00"/>
        <d v="2017-09-12T00:00:00"/>
        <d v="2015-03-09T00:00:00"/>
        <d v="2016-05-04T00:00:00"/>
        <d v="2017-06-11T00:00:00"/>
        <d v="2017-09-11T00:00:00"/>
        <d v="2016-06-09T00:00:00"/>
        <d v="2016-01-12T00:00:00"/>
        <d v="2016-03-11T00:00:00"/>
        <d v="2015-02-03T00:00:00"/>
        <d v="2015-05-04T00:00:00"/>
        <d v="2017-05-11T00:00:00"/>
        <d v="2017-02-02T00:00:00"/>
        <d v="2016-05-09T00:00:00"/>
        <d v="2016-11-05T00:00:00"/>
        <d v="2016-07-11T00:00:00"/>
        <d v="2014-08-09T00:00:00"/>
        <d v="2014-05-08T00:00:00"/>
        <d v="2014-03-08T00:00:00"/>
        <d v="2017-03-06T00:00:00"/>
        <d v="2017-01-12T00:00:00"/>
        <d v="2015-02-01T00:00:00"/>
        <d v="2017-08-06T00:00:00"/>
        <d v="2015-02-11T00:00:00"/>
        <d v="2015-04-05T00:00:00"/>
        <d v="2014-01-06T00:00:00"/>
        <d v="2014-04-11T00:00:00"/>
        <d v="2017-03-11T00:00:00"/>
        <d v="2015-01-09T00:00:00"/>
        <d v="2017-08-07T00:00:00"/>
        <d v="2017-08-03T00:00:00"/>
        <d v="2015-03-12T00:00:00"/>
        <d v="2014-07-06T00:00:00"/>
        <d v="2016-08-09T00:00:00"/>
        <d v="2017-08-12T00:00:00"/>
        <d v="2017-01-10T00:00:00"/>
        <d v="2016-01-04T00:00:00"/>
        <d v="2014-09-11T00:00:00"/>
        <d v="2014-06-10T00:00:00"/>
        <d v="2015-07-11T00:00:00"/>
        <d v="2017-07-09T00:00:00"/>
        <d v="2017-03-09T00:00:00"/>
        <d v="2015-07-12T00:00:00"/>
        <d v="2014-01-02T00:00:00"/>
        <d v="2014-03-03T00:00:00"/>
        <d v="2017-07-12T00:00:00"/>
        <d v="2015-03-07T00:00:00"/>
        <d v="2015-04-10T00:00:00"/>
        <d v="2017-05-12T00:00:00"/>
        <d v="2017-04-11T00:00:00"/>
        <d v="2014-05-07T00:00:00"/>
        <d v="2014-02-12T00:00:00"/>
        <d v="2014-02-06T00:00:00"/>
        <d v="2016-07-07T00:00:00"/>
        <d v="2016-03-12T00:00:00"/>
        <d v="2014-04-01T00:00:00"/>
        <d v="2017-02-10T00:00:00"/>
        <d v="2016-07-04T00:00:00"/>
        <d v="2015-03-10T00:00:00"/>
        <d v="2017-01-01T00:00:00"/>
        <d v="2014-07-02T00:00:00"/>
        <d v="2014-06-04T00:00:00"/>
        <d v="2016-03-09T00:00:00"/>
        <d v="2016-10-11T00:00:00"/>
        <d v="2016-03-10T00:00:00"/>
        <d v="2016-10-04T00:00:00"/>
        <d v="2017-02-09T00:00:00"/>
        <d v="2016-05-03T00:00:00"/>
        <d v="2015-05-10T00:00:00"/>
        <d v="2017-03-04T00:00:00"/>
        <d v="2017-09-04T00:00:00"/>
        <d v="2015-10-03T00:00:00"/>
        <d v="2015-06-11T00:00:00"/>
        <d v="2015-06-07T00:00:00"/>
        <d v="2017-09-07T00:00:00"/>
        <d v="2015-04-04T00:00:00"/>
        <d v="2014-01-09T00:00:00"/>
        <d v="2017-01-08T00:00:00"/>
        <d v="2017-04-06T00:00:00"/>
        <d v="2016-02-05T00:00:00"/>
        <d v="2017-03-07T00:00:00"/>
        <d v="2017-03-03T00:00:00"/>
        <d v="2017-09-10T00:00:00"/>
        <d v="2017-02-06T00:00:00"/>
        <d v="2017-02-04T00:00:00"/>
        <d v="2017-02-01T00:00:00"/>
        <d v="2014-03-10T00:00:00"/>
        <d v="2016-05-05T00:00:00"/>
        <d v="2017-07-03T00:00:00"/>
        <d v="2016-05-02T00:00:00"/>
        <d v="2016-01-11T00:00:00"/>
        <d v="2017-05-08T00:00:00"/>
        <d v="2015-03-11T00:00:00"/>
        <d v="2017-04-09T00:00:00"/>
        <d v="2015-01-08T00:00:00"/>
        <d v="2015-06-12T00:00:00"/>
        <d v="2014-04-02T00:00:00"/>
        <d v="2015-09-11T00:00:00"/>
        <d v="2015-11-12T00:00:00"/>
        <d v="2014-02-02T00:00:00"/>
        <d v="2016-04-08T00:00:00"/>
        <d v="2016-08-02T00:00:00"/>
        <d v="2017-02-12T00:00:00"/>
        <d v="2017-03-10T00:00:00"/>
        <d v="2016-08-07T00:00:00"/>
        <d v="2014-01-08T00:00:00"/>
        <d v="2015-08-11T00:00:00"/>
        <d v="2017-12-10T00:00:00"/>
        <d v="2017-08-01T00:00:00"/>
        <d v="2017-11-06T00:00:00"/>
        <d v="2015-07-06T00:00:00"/>
        <d v="2014-03-12T00:00:00"/>
        <d v="2014-09-09T00:00:00"/>
        <d v="2017-03-12T00:00:00"/>
        <d v="2016-07-02T00:00:00"/>
        <d v="2014-04-10T00:00:00"/>
        <d v="2015-04-12T00:00:00"/>
        <d v="2015-02-04T00:00:00"/>
        <d v="2017-08-09T00:00:00"/>
        <d v="2016-06-08T00:00:00"/>
        <d v="2017-10-04T00:00:00"/>
        <d v="2017-03-05T00:00:00"/>
        <d v="2017-06-03T00:00:00"/>
        <d v="2015-08-03T00:00:00"/>
        <d v="2017-06-10T00:00:00"/>
        <d v="2017-10-12T00:00:00"/>
        <d v="2014-07-03T00:00:00"/>
        <d v="2017-02-11T00:00:00"/>
        <d v="2017-08-10T00:00:00"/>
        <m/>
      </sharedItems>
      <fieldGroup par="26"/>
    </cacheField>
    <cacheField name="Ship Date" numFmtId="0">
      <sharedItems containsNonDate="0" containsDate="1" containsString="0" containsBlank="1" minDate="2014-03-02T00:00:00" maxDate="2017-12-13T00:00:00" count="143">
        <d v="2016-11-11T00:00:00"/>
        <d v="2016-10-12T00:00:00"/>
        <d v="2014-10-12T00:00:00"/>
        <d v="2016-06-06T00:00:00"/>
        <d v="2017-11-12T00:00:00"/>
        <d v="2015-08-09T00:00:00"/>
        <d v="2016-10-04T00:00:00"/>
        <d v="2017-12-11T00:00:00"/>
        <d v="2017-11-11T00:00:00"/>
        <d v="2016-11-09T00:00:00"/>
        <d v="2016-04-12T00:00:00"/>
        <d v="2016-10-11T00:00:00"/>
        <d v="2015-06-03T00:00:00"/>
        <d v="2015-10-04T00:00:00"/>
        <d v="2017-05-02T00:00:00"/>
        <d v="2016-07-09T00:00:00"/>
        <d v="2016-09-12T00:00:00"/>
        <d v="2016-12-05T00:00:00"/>
        <d v="2014-12-09T00:00:00"/>
        <d v="2014-09-08T00:00:00"/>
        <d v="2014-09-12T00:00:00"/>
        <d v="2014-05-08T00:00:00"/>
        <d v="2017-07-06T00:00:00"/>
        <d v="2017-07-12T00:00:00"/>
        <d v="2015-09-01T00:00:00"/>
        <d v="2016-09-06T00:00:00"/>
        <d v="2017-03-12T00:00:00"/>
        <d v="2017-12-06T00:00:00"/>
        <d v="2015-06-11T00:00:00"/>
        <d v="2015-09-05T00:00:00"/>
        <d v="2014-06-06T00:00:00"/>
        <d v="2014-09-11T00:00:00"/>
        <d v="2017-05-11T00:00:00"/>
        <d v="2015-04-09T00:00:00"/>
        <d v="2017-12-07T00:00:00"/>
        <d v="2017-11-03T00:00:00"/>
        <d v="2015-07-12T00:00:00"/>
        <d v="2014-10-06T00:00:00"/>
        <d v="2016-10-09T00:00:00"/>
        <d v="2017-12-12T00:00:00"/>
        <d v="2017-07-11T00:00:00"/>
        <d v="2017-08-10T00:00:00"/>
        <d v="2016-03-04T00:00:00"/>
        <d v="2014-11-11T00:00:00"/>
        <d v="2014-10-10T00:00:00"/>
        <d v="2015-07-09T00:00:00"/>
        <d v="2015-09-11T00:00:00"/>
        <d v="2017-11-09T00:00:00"/>
        <d v="2017-08-09T00:00:00"/>
        <d v="2015-11-12T00:00:00"/>
        <d v="2014-03-02T00:00:00"/>
        <d v="2014-07-03T00:00:00"/>
        <d v="2015-09-12T00:00:00"/>
        <d v="2017-10-12T00:00:00"/>
        <d v="2016-07-11T00:00:00"/>
        <d v="2015-09-07T00:00:00"/>
        <d v="2015-09-10T00:00:00"/>
        <d v="2017-10-06T00:00:00"/>
        <d v="2017-08-12T00:00:00"/>
        <d v="2017-04-11T00:00:00"/>
        <d v="2014-08-07T00:00:00"/>
        <d v="2014-04-12T00:00:00"/>
        <d v="2017-07-09T00:00:00"/>
        <d v="2014-07-06T00:00:00"/>
        <d v="2016-12-07T00:00:00"/>
        <d v="2016-06-12T00:00:00"/>
        <d v="2014-08-01T00:00:00"/>
        <d v="2017-06-10T00:00:00"/>
        <d v="2016-09-04T00:00:00"/>
        <d v="2015-06-10T00:00:00"/>
        <d v="2016-09-11T00:00:00"/>
        <d v="2017-06-01T00:00:00"/>
        <d v="2014-12-02T00:00:00"/>
        <d v="2014-08-08T00:00:00"/>
        <d v="2014-10-04T00:00:00"/>
        <d v="2016-05-09T00:00:00"/>
        <d v="2016-12-11T00:00:00"/>
        <d v="2016-06-10T00:00:00"/>
        <d v="2016-12-04T00:00:00"/>
        <d v="2016-11-03T00:00:00"/>
        <d v="2017-06-09T00:00:00"/>
        <d v="2017-07-04T00:00:00"/>
        <d v="2017-11-04T00:00:00"/>
        <d v="2015-10-03T00:00:00"/>
        <d v="2015-10-07T00:00:00"/>
        <d v="2016-09-09T00:00:00"/>
        <d v="2015-05-07T00:00:00"/>
        <d v="2015-08-04T00:00:00"/>
        <d v="2015-04-04T00:00:00"/>
        <d v="2014-05-09T00:00:00"/>
        <d v="2014-08-03T00:00:00"/>
        <d v="2017-04-08T00:00:00"/>
        <d v="2017-08-06T00:00:00"/>
        <d v="2016-07-05T00:00:00"/>
        <d v="2016-12-12T00:00:00"/>
        <d v="2017-07-07T00:00:00"/>
        <d v="2017-08-03T00:00:00"/>
        <d v="2017-10-10T00:00:00"/>
        <d v="2017-06-06T00:00:00"/>
        <d v="2017-04-01T00:00:00"/>
        <d v="2014-08-10T00:00:00"/>
        <d v="2017-12-03T00:00:00"/>
        <d v="2016-05-02T00:00:00"/>
        <d v="2017-04-07T00:00:00"/>
        <d v="2016-05-11T00:00:00"/>
        <d v="2017-08-08T00:00:00"/>
        <d v="2015-07-11T00:00:00"/>
        <d v="2015-07-08T00:00:00"/>
        <d v="2014-08-02T00:00:00"/>
        <d v="2015-12-12T00:00:00"/>
        <d v="2014-06-02T00:00:00"/>
        <d v="2016-08-08T00:00:00"/>
        <d v="2016-11-02T00:00:00"/>
        <d v="2017-05-12T00:00:00"/>
        <d v="2016-10-07T00:00:00"/>
        <d v="2017-04-12T00:00:00"/>
        <d v="2014-03-08T00:00:00"/>
        <d v="2015-06-12T00:00:00"/>
        <d v="2015-10-11T00:00:00"/>
        <d v="2017-12-10T00:00:00"/>
        <d v="2016-08-05T00:00:00"/>
        <d v="2017-11-01T00:00:00"/>
        <d v="2015-10-12T00:00:00"/>
        <d v="2015-09-06T00:00:00"/>
        <d v="2014-06-12T00:00:00"/>
        <d v="2016-09-02T00:00:00"/>
        <d v="2014-08-11T00:00:00"/>
        <d v="2015-08-12T00:00:00"/>
        <d v="2015-07-04T00:00:00"/>
        <d v="2017-07-03T00:00:00"/>
        <d v="2017-12-09T00:00:00"/>
        <d v="2016-04-11T00:00:00"/>
        <d v="2016-07-08T00:00:00"/>
        <d v="2017-10-04T00:00:00"/>
        <d v="2017-08-05T00:00:00"/>
        <d v="2015-12-03T00:00:00"/>
        <d v="2014-11-06T00:00:00"/>
        <d v="2017-03-06T00:00:00"/>
        <d v="2016-12-09T00:00:00"/>
        <d v="2017-06-11T00:00:00"/>
        <d v="2017-06-12T00:00:00"/>
        <d v="2017-11-10T00:00:00"/>
        <m/>
      </sharedItems>
      <fieldGroup par="23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164">
      <sharedItems containsString="0" containsBlank="1" containsNumber="1" containsInteger="1" minValue="1852" maxValue="98270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1.1120000000000001" maxValue="7999.98"/>
    </cacheField>
    <cacheField name="Quantity" numFmtId="0">
      <sharedItems containsString="0" containsBlank="1" containsNumber="1" containsInteger="1" minValue="1" maxValue="11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839.9904000000001" maxValue="843.17060000000004"/>
    </cacheField>
    <cacheField name="Months (Ship Date)" numFmtId="0" databaseField="0">
      <fieldGroup base="3">
        <rangePr groupBy="months" startDate="2014-03-02T00:00:00" endDate="2017-12-13T00:00:00"/>
        <groupItems count="14">
          <s v="&lt;02-03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2-2017"/>
        </groupItems>
      </fieldGroup>
    </cacheField>
    <cacheField name="Quarters (Ship Date)" numFmtId="0" databaseField="0">
      <fieldGroup base="3">
        <rangePr groupBy="quarters" startDate="2014-03-02T00:00:00" endDate="2017-12-13T00:00:00"/>
        <groupItems count="6">
          <s v="&lt;02-03-2014"/>
          <s v="Qtr1"/>
          <s v="Qtr2"/>
          <s v="Qtr3"/>
          <s v="Qtr4"/>
          <s v="&gt;13-12-2017"/>
        </groupItems>
      </fieldGroup>
    </cacheField>
    <cacheField name="Years (Ship Date)" numFmtId="0" databaseField="0">
      <fieldGroup base="3">
        <rangePr groupBy="years" startDate="2014-03-02T00:00:00" endDate="2017-12-13T00:00:00"/>
        <groupItems count="6">
          <s v="&lt;02-03-2014"/>
          <s v="2014"/>
          <s v="2015"/>
          <s v="2016"/>
          <s v="2017"/>
          <s v="&gt;13-12-2017"/>
        </groupItems>
      </fieldGroup>
    </cacheField>
    <cacheField name="Months (Order Date)" numFmtId="0" databaseField="0">
      <fieldGroup base="2">
        <rangePr groupBy="months" startDate="2014-01-02T00:00:00" endDate="2017-12-1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17"/>
        </groupItems>
      </fieldGroup>
    </cacheField>
    <cacheField name="Quarters (Order Date)" numFmtId="0" databaseField="0">
      <fieldGroup base="2">
        <rangePr groupBy="quarters" startDate="2014-01-02T00:00:00" endDate="2017-12-11T00:00:00"/>
        <groupItems count="6">
          <s v="&lt;02-01-2014"/>
          <s v="Qtr1"/>
          <s v="Qtr2"/>
          <s v="Qtr3"/>
          <s v="Qtr4"/>
          <s v="&gt;11-12-2017"/>
        </groupItems>
      </fieldGroup>
    </cacheField>
    <cacheField name="Years (Order Date)" numFmtId="0" databaseField="0">
      <fieldGroup base="2">
        <rangePr groupBy="years" startDate="2014-01-02T00:00:00" endDate="2017-12-11T00:00:00"/>
        <groupItems count="6">
          <s v="&lt;02-01-2014"/>
          <s v="2014"/>
          <s v="2015"/>
          <s v="2016"/>
          <s v="2017"/>
          <s v="&gt;1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x v="0"/>
    <n v="2"/>
    <n v="0"/>
    <x v="0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1"/>
    <s v="Fellowes PB200 Plastic Comb Binding Machine"/>
    <x v="1"/>
    <n v="3"/>
    <n v="0.2"/>
    <x v="1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2"/>
    <s v="GE 30524EE4"/>
    <x v="2"/>
    <n v="7"/>
    <n v="0.2"/>
    <x v="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3"/>
    <s v="Hunt BOSTON Model 1606 High-Volume Electric Pencil Sharpener, Beige"/>
    <x v="3"/>
    <n v="8"/>
    <n v="0.2"/>
    <x v="3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4"/>
    <s v="Snap-A-Way Black Print Carbonless Ruled Speed Letter, Triplicate"/>
    <x v="4"/>
    <n v="2"/>
    <n v="0"/>
    <x v="4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1"/>
    <s v="Economy Binders"/>
    <x v="5"/>
    <n v="3"/>
    <n v="0.8"/>
    <x v="5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5"/>
    <s v="Jet-Pak Recycled Peel 'N' Seal Padded Mailers"/>
    <x v="6"/>
    <n v="7"/>
    <n v="0.2"/>
    <x v="6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6"/>
    <s v="Eldon Portable Mobile Manager"/>
    <x v="7"/>
    <n v="7"/>
    <n v="0.2"/>
    <x v="7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1"/>
    <s v="Flexible Leather- Look Classic Collection Ring Binder"/>
    <x v="8"/>
    <n v="1"/>
    <n v="0.7"/>
    <x v="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7"/>
    <s v="9-3/4 Diameter Round Wall Clock"/>
    <x v="9"/>
    <n v="7"/>
    <n v="0"/>
    <x v="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8"/>
    <s v="Fellowes Basic Home/Office Series Surge Protectors"/>
    <x v="10"/>
    <n v="6"/>
    <n v="0"/>
    <x v="10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4"/>
    <s v="Universal Premium White Copier/Laser Paper (20Lb. and 87 Bright)"/>
    <x v="11"/>
    <n v="4"/>
    <n v="0"/>
    <x v="11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3"/>
    <s v="Hunt PowerHouse Electric Pencil Sharpener, Blue"/>
    <x v="12"/>
    <n v="2"/>
    <n v="0"/>
    <x v="12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9"/>
    <s v="Hon Racetrack Conference Tables"/>
    <x v="13"/>
    <n v="3"/>
    <n v="0"/>
    <x v="13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1"/>
    <s v="GBC DocuBind 300 Electric Binding Machine"/>
    <x v="14"/>
    <n v="1"/>
    <n v="0.7"/>
    <x v="14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1"/>
    <s v="Avery Durable Slant Ring Binders, No Labels"/>
    <x v="15"/>
    <n v="2"/>
    <n v="0.7"/>
    <x v="15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2"/>
    <s v="Anker 36W 4-Port USB Wall Charger Travel Power Adapter for iPhone 5s 5c 5"/>
    <x v="16"/>
    <n v="5"/>
    <n v="0.4"/>
    <x v="16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7"/>
    <s v="Howard Miller 13-3/4&quot; Diameter Brushed Chrome Round Wall Clock"/>
    <x v="17"/>
    <n v="2"/>
    <n v="0.2"/>
    <x v="17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2"/>
    <s v="Plantronics Cordless Phone Headset with In-line Volume - M214C"/>
    <x v="18"/>
    <n v="11"/>
    <n v="0"/>
    <x v="18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4"/>
    <s v="Xerox 1920"/>
    <x v="19"/>
    <n v="1"/>
    <n v="0"/>
    <x v="19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1"/>
    <s v="Wilson Jones International Size A4 Ring Binders"/>
    <x v="20"/>
    <n v="2"/>
    <n v="0.2"/>
    <x v="20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3"/>
    <s v="BIC Brite Liner Highlighters"/>
    <x v="21"/>
    <n v="3"/>
    <n v="0.2"/>
    <x v="21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4"/>
    <s v="Adams Phone Message Book, Professional, 400 Message Capacity, 5 3/6” x 11”"/>
    <x v="22"/>
    <n v="3"/>
    <n v="0"/>
    <x v="22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6"/>
    <s v="Tenex File Box, Personal Filing Tote with Lid, Black"/>
    <x v="23"/>
    <n v="2"/>
    <n v="0.2"/>
    <x v="23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9"/>
    <s v="BoxOffice By Design Rectangular and Half-Moon Meeting Room Tables"/>
    <x v="24"/>
    <n v="2"/>
    <n v="0.5"/>
    <x v="24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7"/>
    <s v="Eldon 200 Class Desk Accessories, Burgundy"/>
    <x v="25"/>
    <n v="7"/>
    <n v="0.2"/>
    <x v="25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6"/>
    <s v="Tennsco Lockers, Gray"/>
    <x v="26"/>
    <n v="4"/>
    <n v="0"/>
    <x v="26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10"/>
    <s v="Avery 505"/>
    <x v="27"/>
    <n v="2"/>
    <n v="0.2"/>
    <x v="27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4"/>
    <s v="Xerox 1957"/>
    <x v="28"/>
    <n v="5"/>
    <n v="0.2"/>
    <x v="28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x v="29"/>
    <n v="3"/>
    <n v="0"/>
    <x v="29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8"/>
    <s v="Eureka Disposable Bags for Sanitaire Vibra Groomer I Upright Vac"/>
    <x v="30"/>
    <n v="2"/>
    <n v="0.8"/>
    <x v="3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9"/>
    <s v="Bevis Round Bullnose 29&quot; High Table Top"/>
    <x v="31"/>
    <n v="5"/>
    <n v="0.2"/>
    <x v="31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7"/>
    <s v="Electrix 20W Halogen Replacement Bulb for Zoom-In Desk Lamp"/>
    <x v="32"/>
    <n v="2"/>
    <n v="0"/>
    <x v="32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1"/>
    <s v="GBC Clear Cover, 8-1/2 x 11, unpunched, 25 covers per pack"/>
    <x v="33"/>
    <n v="3"/>
    <n v="0"/>
    <x v="3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2"/>
    <s v="DMI Arturo Collection Mission-style Design Wood Chair"/>
    <x v="34"/>
    <n v="1"/>
    <n v="0.1"/>
    <x v="34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7"/>
    <s v="Telescoping Adjustable Floor Lamp"/>
    <x v="35"/>
    <n v="1"/>
    <n v="0.2"/>
    <x v="35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1"/>
    <s v="Storex Dura Pro Binders"/>
    <x v="36"/>
    <n v="1"/>
    <n v="0.2"/>
    <x v="36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3"/>
    <s v="Binney &amp; Smith inkTank Erasable Desk Highlighter, Chisel Tip, Yellow, 12/Box"/>
    <x v="37"/>
    <n v="3"/>
    <n v="0"/>
    <x v="37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8"/>
    <s v="Belkin 8 Outlet SurgeMaster II Gold Surge Protector with Phone Protection"/>
    <x v="38"/>
    <n v="8"/>
    <n v="0"/>
    <x v="38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3"/>
    <s v="Lexmark MarkNet N8150 Wireless Print Server"/>
    <x v="39"/>
    <n v="4"/>
    <n v="0.7"/>
    <x v="39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1"/>
    <s v="Wilson Jones Century Plastic Molded Ring Binders"/>
    <x v="40"/>
    <n v="3"/>
    <n v="0.8"/>
    <x v="40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6"/>
    <s v="Super Decoflex Portable Personal File"/>
    <x v="41"/>
    <n v="3"/>
    <n v="0.2"/>
    <x v="41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x v="42"/>
    <n v="5"/>
    <n v="0"/>
    <x v="42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4"/>
    <s v="Xerox 191"/>
    <x v="43"/>
    <n v="7"/>
    <n v="0"/>
    <x v="43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3"/>
    <s v="Design Ebony Sketching Pencil"/>
    <x v="44"/>
    <n v="6"/>
    <n v="0.2"/>
    <x v="44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3"/>
    <s v="Newell 345"/>
    <x v="45"/>
    <n v="3"/>
    <n v="0"/>
    <x v="45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6"/>
    <s v="SAFCO Boltless Steel Shelving"/>
    <x v="46"/>
    <n v="3"/>
    <n v="0"/>
    <x v="46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x v="47"/>
    <n v="3"/>
    <n v="0"/>
    <x v="47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6"/>
    <s v="Eldon Gobal File Keepers"/>
    <x v="48"/>
    <n v="3"/>
    <n v="0.2"/>
    <x v="48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2"/>
    <s v="Safco Contoured Stacking Chairs"/>
    <x v="49"/>
    <n v="1"/>
    <n v="0.2"/>
    <x v="49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7"/>
    <s v="Tenex Chairmats For Use With Carpeted Floors"/>
    <x v="50"/>
    <n v="3"/>
    <n v="0"/>
    <x v="50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1"/>
    <s v="Premier Elliptical Ring Binder, Black"/>
    <x v="51"/>
    <n v="7"/>
    <n v="0.8"/>
    <x v="51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8"/>
    <s v="Eureka The Boss Cordless Rechargeable Stick Vac"/>
    <x v="52"/>
    <n v="3"/>
    <n v="0"/>
    <x v="52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x v="53"/>
    <n v="6"/>
    <n v="0"/>
    <x v="53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3"/>
    <s v="Zebra Zazzle Fluorescent Highlighters"/>
    <x v="54"/>
    <n v="4"/>
    <n v="0.2"/>
    <x v="54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4"/>
    <s v="Alliance Big Bands Rubber Bands, 12/Pack"/>
    <x v="55"/>
    <n v="2"/>
    <n v="0"/>
    <x v="55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2"/>
    <s v="Cisco SPA301"/>
    <x v="56"/>
    <n v="3"/>
    <n v="0.2"/>
    <x v="56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4"/>
    <s v="Personal Creations Ink Jet Cards and Labels"/>
    <x v="57"/>
    <n v="8"/>
    <n v="0"/>
    <x v="57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3"/>
    <s v="Newell 332"/>
    <x v="58"/>
    <n v="3"/>
    <n v="0"/>
    <x v="58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2"/>
    <s v="Novimex High-Tech Fabric Mesh Task Chair"/>
    <x v="59"/>
    <n v="1"/>
    <n v="0"/>
    <x v="59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2"/>
    <s v="Office Star - Mesh Screen back chair with Vinyl seat"/>
    <x v="60"/>
    <n v="3"/>
    <n v="0"/>
    <x v="60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5"/>
    <s v="Acme Tagit Stainless Steel Antibacterial Scissors"/>
    <x v="61"/>
    <n v="3"/>
    <n v="0.2"/>
    <x v="61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8"/>
    <s v="Kensington 6 Outlet Guardian Standard Surge Protector"/>
    <x v="62"/>
    <n v="3"/>
    <n v="0"/>
    <x v="62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3"/>
    <s v="Cubify CubeX 3D Printer Triple Head Print"/>
    <x v="63"/>
    <n v="4"/>
    <n v="0.5"/>
    <x v="63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x v="64"/>
    <n v="3"/>
    <n v="0"/>
    <x v="6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x v="65"/>
    <n v="4"/>
    <n v="0"/>
    <x v="65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5"/>
    <s v="#10- 4 1/8&quot; x 9 1/2&quot; Security-Tint Envelopes"/>
    <x v="66"/>
    <n v="4"/>
    <n v="0.2"/>
    <x v="66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1"/>
    <s v="GBC Standard Therm-A-Bind Covers"/>
    <x v="67"/>
    <n v="3"/>
    <n v="0.2"/>
    <x v="67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5"/>
    <s v="Acme Softgrip Scissors"/>
    <x v="68"/>
    <n v="7"/>
    <n v="0.2"/>
    <x v="68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4"/>
    <s v="Xerox 1964"/>
    <x v="69"/>
    <n v="8"/>
    <n v="0"/>
    <x v="69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10"/>
    <s v="Avery 508"/>
    <x v="70"/>
    <n v="3"/>
    <n v="0.2"/>
    <x v="70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1"/>
    <s v="GBC Durable Plastic Covers"/>
    <x v="71"/>
    <n v="3"/>
    <n v="0"/>
    <x v="71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x v="72"/>
    <n v="3"/>
    <n v="0.2"/>
    <x v="72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1"/>
    <s v="Acco D-Ring Binder w/DublLock"/>
    <x v="73"/>
    <n v="5"/>
    <n v="0.7"/>
    <x v="73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4"/>
    <s v="Adams Telephone Message Books, 5 1/4” x 11”"/>
    <x v="74"/>
    <n v="2"/>
    <n v="0.2"/>
    <x v="7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1"/>
    <s v="Fellowes Binding Cases"/>
    <x v="75"/>
    <n v="4"/>
    <n v="0.2"/>
    <x v="75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7"/>
    <s v="Linden 10&quot; Round Wall Clock, Black"/>
    <x v="76"/>
    <n v="4"/>
    <n v="0.2"/>
    <x v="76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x v="77"/>
    <n v="7"/>
    <n v="0"/>
    <x v="77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4"/>
    <s v="Xerox 1884"/>
    <x v="78"/>
    <n v="2"/>
    <n v="0"/>
    <x v="7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1"/>
    <s v="Large Capacity Hanging Post Binders"/>
    <x v="79"/>
    <n v="6"/>
    <n v="0.7"/>
    <x v="79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1"/>
    <s v="GBC Ibimaster 500 Manual ProClick Binding System"/>
    <x v="80"/>
    <n v="5"/>
    <n v="0.7"/>
    <x v="80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6"/>
    <s v="File Shuttle I and Handi-File"/>
    <x v="81"/>
    <n v="7"/>
    <n v="0"/>
    <x v="8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5"/>
    <s v="Staple envelope"/>
    <x v="82"/>
    <n v="2"/>
    <n v="0.2"/>
    <x v="82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1"/>
    <s v="Wilson Jones Hanging Recycled Pressboard Data Binders"/>
    <x v="83"/>
    <n v="2"/>
    <n v="0.7"/>
    <x v="83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2"/>
    <s v="Polycom CX600 IP Phone VoIP phone"/>
    <x v="84"/>
    <n v="4"/>
    <n v="0"/>
    <x v="84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5"/>
    <s v="Cameo Buff Policy Envelopes"/>
    <x v="85"/>
    <n v="3"/>
    <n v="0.2"/>
    <x v="8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3"/>
    <s v="Newell 324"/>
    <x v="86"/>
    <n v="4"/>
    <n v="0"/>
    <x v="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4"/>
    <s v="RSVP Cards &amp; Envelopes, Blank White, 8-1/2&quot; X 11&quot;, 24 Cards/25 Envelopes/Set"/>
    <x v="87"/>
    <n v="3"/>
    <n v="0.2"/>
    <x v="87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7"/>
    <s v="Staple-based wall hangings"/>
    <x v="88"/>
    <n v="4"/>
    <n v="0.2"/>
    <x v="88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10"/>
    <s v="Color-Coded Legal Exhibit Labels"/>
    <x v="89"/>
    <n v="2"/>
    <n v="0"/>
    <x v="89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1"/>
    <s v="Acco Suede Grain Vinyl Round Ring Binder"/>
    <x v="90"/>
    <n v="2"/>
    <n v="0.8"/>
    <x v="90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5"/>
    <s v="Redi-Strip #10 Envelopes, 4 1/8 x 9 1/2"/>
    <x v="91"/>
    <n v="3"/>
    <n v="0.2"/>
    <x v="91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7"/>
    <s v="G.E. Halogen Desk Lamp Bulbs"/>
    <x v="92"/>
    <n v="2"/>
    <n v="0"/>
    <x v="92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x v="93"/>
    <n v="2"/>
    <n v="0"/>
    <x v="93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3"/>
    <s v="Quartet Alpha White Chalk, 12/Pack"/>
    <x v="94"/>
    <n v="5"/>
    <n v="0.2"/>
    <x v="94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7"/>
    <s v="Eldon Antistatic Chair Mats for Low to Medium Pile Carpets"/>
    <x v="95"/>
    <n v="2"/>
    <n v="0.2"/>
    <x v="95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3"/>
    <s v="DIXON Ticonderoga Erasable Checking Pencils"/>
    <x v="96"/>
    <n v="2"/>
    <n v="0"/>
    <x v="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8"/>
    <s v="Hoover Shoulder Vac Commercial Portable Vacuum"/>
    <x v="97"/>
    <n v="2"/>
    <n v="0.1"/>
    <x v="9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3"/>
    <s v="BOSTON Model 1800 Electric Pencil Sharpeners, Putty/Woodgrain"/>
    <x v="98"/>
    <n v="3"/>
    <n v="0"/>
    <x v="98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2"/>
    <s v="PowerGen Dual USB Car Charger"/>
    <x v="99"/>
    <n v="1"/>
    <n v="0"/>
    <x v="99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2"/>
    <s v="Nortel Networks T7316 E Nt8 B27"/>
    <x v="100"/>
    <n v="5"/>
    <n v="0.2"/>
    <x v="100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3"/>
    <s v="Pencil and Crayon Sharpener"/>
    <x v="101"/>
    <n v="3"/>
    <n v="0"/>
    <x v="101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4"/>
    <s v="Ampad Phone Message Book, Recycled, 400 Message Capacity, 5 ¾” x 11”"/>
    <x v="102"/>
    <n v="2"/>
    <n v="0"/>
    <x v="102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3"/>
    <s v="Panasonic KP-380BK Classic Electric Pencil Sharpener"/>
    <x v="103"/>
    <n v="3"/>
    <n v="0.2"/>
    <x v="103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2"/>
    <s v="Motorola HK250 Universal Bluetooth Headset"/>
    <x v="104"/>
    <n v="5"/>
    <n v="0"/>
    <x v="104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7"/>
    <s v="Westinghouse Floor Lamp with Metal Mesh Shade, Black"/>
    <x v="105"/>
    <n v="1"/>
    <n v="0"/>
    <x v="105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8"/>
    <s v="Acco 6 Outlet Guardian Premium Surge Suppressor"/>
    <x v="106"/>
    <n v="5"/>
    <n v="0"/>
    <x v="106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4"/>
    <s v="Avoid Verbal Orders Carbonless Minifold Book"/>
    <x v="107"/>
    <n v="4"/>
    <n v="0.2"/>
    <x v="107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2"/>
    <s v="Cush Cases Heavy Duty Rugged Cover Case for Samsung Galaxy S5 - Purple"/>
    <x v="108"/>
    <n v="1"/>
    <n v="0.4"/>
    <x v="108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7"/>
    <s v="Westinghouse Clip-On Gooseneck Lamps"/>
    <x v="109"/>
    <n v="3"/>
    <n v="0"/>
    <x v="109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3"/>
    <s v="Cisco CP-7937G Unified IP Conference Station Phone"/>
    <x v="110"/>
    <n v="2"/>
    <n v="0.5"/>
    <x v="110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2"/>
    <s v="Global High-Back Leather Tilter, Burgundy"/>
    <x v="111"/>
    <n v="3"/>
    <n v="0.3"/>
    <x v="111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4"/>
    <s v="Xerox 1909"/>
    <x v="112"/>
    <n v="3"/>
    <n v="0"/>
    <x v="112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x v="113"/>
    <n v="3"/>
    <n v="0"/>
    <x v="11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7"/>
    <s v="Tenex &quot;The Solids&quot; Textured Chair Mats"/>
    <x v="114"/>
    <n v="3"/>
    <n v="0.6"/>
    <x v="11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6"/>
    <s v="Carina 42&quot;Hx23 3/4&quot;W Media Storage Unit"/>
    <x v="115"/>
    <n v="1"/>
    <n v="0"/>
    <x v="115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3"/>
    <s v="4009 Highlighters by Sanford"/>
    <x v="116"/>
    <n v="3"/>
    <n v="0.2"/>
    <x v="116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2"/>
    <s v="LF Elite 3D Dazzle Designer Hard Case Cover, Lf Stylus Pen and Wiper For Apple Iphone 5c Mini Lite"/>
    <x v="117"/>
    <n v="2"/>
    <n v="0"/>
    <x v="117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4"/>
    <s v="Adams Phone Message Book, 200 Message Capacity, 8 1/16” x 11”"/>
    <x v="118"/>
    <n v="2"/>
    <n v="0"/>
    <x v="118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2"/>
    <s v="Cisco IP Phone 7961G-GE VoIP phone"/>
    <x v="119"/>
    <n v="7"/>
    <n v="0.2"/>
    <x v="119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3"/>
    <s v="Crayola Anti Dust Chalk, 12/Pack"/>
    <x v="120"/>
    <n v="7"/>
    <n v="0.2"/>
    <x v="12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3"/>
    <s v="Prang Dustless Chalk Sticks"/>
    <x v="121"/>
    <n v="4"/>
    <n v="0"/>
    <x v="121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7"/>
    <s v="Howard Miller 13&quot; Diameter Pewter Finish Round Wall Clock"/>
    <x v="122"/>
    <n v="6"/>
    <n v="0.2"/>
    <x v="122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1"/>
    <s v="GBC Recycled Grain Textured Covers"/>
    <x v="123"/>
    <n v="3"/>
    <n v="0.2"/>
    <x v="123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4"/>
    <s v="While You Were Out Pads, 50 per Pad, 4 x 5 1/4, Green Cycle"/>
    <x v="124"/>
    <n v="3"/>
    <n v="0.2"/>
    <x v="124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10"/>
    <s v="Dot Matrix Printer Tape Reel Labels, White, 5000/Box"/>
    <x v="125"/>
    <n v="2"/>
    <n v="0"/>
    <x v="125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4"/>
    <s v="Staples"/>
    <x v="126"/>
    <n v="5"/>
    <n v="0"/>
    <x v="126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5"/>
    <s v="Acme 10&quot; Easy Grip Assistive Scissors"/>
    <x v="127"/>
    <n v="2"/>
    <n v="0"/>
    <x v="12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2"/>
    <s v="Samsung Galaxy S4 Mini"/>
    <x v="128"/>
    <n v="3"/>
    <n v="0.2"/>
    <x v="128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3"/>
    <s v="Newell 309"/>
    <x v="129"/>
    <n v="3"/>
    <n v="0"/>
    <x v="129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1"/>
    <s v="GBC DocuBind TL300 Electric Binding System"/>
    <x v="130"/>
    <n v="2"/>
    <n v="0"/>
    <x v="130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2"/>
    <s v="Cisco SPA 502G IP Phone"/>
    <x v="131"/>
    <n v="9"/>
    <n v="0.2"/>
    <x v="131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1"/>
    <s v="GBC Twin Loop Wire Binding Elements"/>
    <x v="132"/>
    <n v="2"/>
    <n v="0.7"/>
    <x v="132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8"/>
    <s v="3.6 Cubic Foot Counter Height Office Refrigerator"/>
    <x v="133"/>
    <n v="5"/>
    <n v="0.8"/>
    <x v="133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x v="134"/>
    <n v="2"/>
    <n v="0.2"/>
    <x v="134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1"/>
    <s v="Wilson Jones data.warehouse D-Ring Binders with DublLock"/>
    <x v="135"/>
    <n v="3"/>
    <n v="0.2"/>
    <x v="135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2"/>
    <s v="Polycom SoundStation2 EX Conference phone"/>
    <x v="136"/>
    <n v="2"/>
    <n v="0.4"/>
    <x v="136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4"/>
    <s v="Advantus Plastic Paper Clips"/>
    <x v="137"/>
    <n v="1"/>
    <n v="0"/>
    <x v="137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4"/>
    <s v="Xerox 1989"/>
    <x v="138"/>
    <n v="2"/>
    <n v="0.2"/>
    <x v="138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4"/>
    <s v="Xerox 1965"/>
    <x v="139"/>
    <n v="3"/>
    <n v="0.2"/>
    <x v="139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9"/>
    <s v="Balt Solid Wood Round Tables"/>
    <x v="140"/>
    <n v="2"/>
    <n v="0"/>
    <x v="140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2"/>
    <s v="Global Leather Executive Chair"/>
    <x v="141"/>
    <n v="1"/>
    <n v="0.2"/>
    <x v="141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4"/>
    <s v="Xerox 219"/>
    <x v="142"/>
    <n v="1"/>
    <n v="0"/>
    <x v="14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1"/>
    <s v="3-ring staple pack"/>
    <x v="143"/>
    <n v="5"/>
    <n v="0.2"/>
    <x v="143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9"/>
    <s v="Chromcraft Bull-Nose Wood Oval Conference Tables &amp; Bases"/>
    <x v="144"/>
    <n v="3"/>
    <n v="0.2"/>
    <x v="144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4"/>
    <s v="Xerox 214"/>
    <x v="28"/>
    <n v="4"/>
    <n v="0"/>
    <x v="145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4"/>
    <s v="Xerox 1913"/>
    <x v="145"/>
    <n v="3"/>
    <n v="0"/>
    <x v="146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4"/>
    <s v="Xerox 1888"/>
    <x v="145"/>
    <n v="3"/>
    <n v="0"/>
    <x v="14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4"/>
    <s v="Xerox 1912"/>
    <x v="146"/>
    <n v="2"/>
    <n v="0.2"/>
    <x v="147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10"/>
    <s v="Avery 512"/>
    <x v="147"/>
    <n v="5"/>
    <n v="0"/>
    <x v="148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7"/>
    <s v="Executive Impressions 12&quot; Wall Clock"/>
    <x v="148"/>
    <n v="2"/>
    <n v="0"/>
    <x v="149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1"/>
    <s v="SpineVue Locking Slant-D Ring Binders by Cardinal"/>
    <x v="149"/>
    <n v="3"/>
    <n v="0.7"/>
    <x v="150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8"/>
    <s v="APC 7 Outlet Network SurgeArrest Surge Protector"/>
    <x v="150"/>
    <n v="2"/>
    <n v="0.8"/>
    <x v="151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1"/>
    <s v="Computer Printout Index Tabs"/>
    <x v="121"/>
    <n v="5"/>
    <n v="0.2"/>
    <x v="152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8"/>
    <s v="Kensington 7 Outlet MasterPiece Power Center with Fax/Phone Line Protection"/>
    <x v="151"/>
    <n v="1"/>
    <n v="0"/>
    <x v="153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4"/>
    <s v="Important Message Pads, 50 4-1/4 x 5-1/2 Forms per Pad"/>
    <x v="152"/>
    <n v="8"/>
    <n v="0.2"/>
    <x v="154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2"/>
    <s v="Aastra 6757i CT Wireless VoIP phone"/>
    <x v="153"/>
    <n v="2"/>
    <n v="0.4"/>
    <x v="155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4"/>
    <s v="White Computer Printout Paper by Universal"/>
    <x v="154"/>
    <n v="3"/>
    <n v="0.2"/>
    <x v="156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2"/>
    <s v="Cisco SPA112 2 Port Phone Adapter"/>
    <x v="155"/>
    <n v="5"/>
    <n v="0.2"/>
    <x v="157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6"/>
    <s v="Tenex Personal Filing Tote With Secure Closure Lid, Black/Frost"/>
    <x v="156"/>
    <n v="9"/>
    <n v="0.2"/>
    <x v="158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4"/>
    <s v="Easy-staple paper"/>
    <x v="157"/>
    <n v="2"/>
    <n v="0"/>
    <x v="159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4"/>
    <s v="Xerox 1894"/>
    <x v="158"/>
    <n v="2"/>
    <n v="0.2"/>
    <x v="16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6"/>
    <s v="Multi-Use Personal File Cart and Caster Set, Three Stacking Bins"/>
    <x v="159"/>
    <n v="2"/>
    <n v="0"/>
    <x v="161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4"/>
    <s v="Xerox 1883"/>
    <x v="160"/>
    <n v="1"/>
    <n v="0"/>
    <x v="16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8"/>
    <s v="Bionaire 99.97% HEPA Air Cleaner"/>
    <x v="161"/>
    <n v="7"/>
    <n v="0.2"/>
    <x v="163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x v="162"/>
    <n v="3"/>
    <n v="0"/>
    <x v="164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x v="163"/>
    <n v="4"/>
    <n v="0"/>
    <x v="165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2"/>
    <s v="Jackery Bar Premium Fast-charging Portable Charger"/>
    <x v="164"/>
    <n v="4"/>
    <n v="0.2"/>
    <x v="166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9"/>
    <s v="Bevis Round Conference Table Top, X-Base"/>
    <x v="165"/>
    <n v="3"/>
    <n v="0.5"/>
    <x v="167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4"/>
    <s v="Things To Do Today Spiral Book"/>
    <x v="166"/>
    <n v="4"/>
    <n v="0.2"/>
    <x v="168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2"/>
    <s v="Global Push Button Manager's Chair, Indigo"/>
    <x v="167"/>
    <n v="1"/>
    <n v="0.2"/>
    <x v="169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x v="25"/>
    <n v="4"/>
    <n v="0.2"/>
    <x v="170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4"/>
    <s v="Xerox 202"/>
    <x v="28"/>
    <n v="5"/>
    <n v="0.2"/>
    <x v="171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7"/>
    <s v="Eldon Image Series Black Desk Accessories"/>
    <x v="168"/>
    <n v="1"/>
    <n v="0.2"/>
    <x v="172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2"/>
    <s v="ClearOne CHATAttach 160 - speaker phone"/>
    <x v="169"/>
    <n v="4"/>
    <n v="0"/>
    <x v="173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6"/>
    <s v="SAFCO Mobile Desk Side File, Wire Frame"/>
    <x v="170"/>
    <n v="1"/>
    <n v="0"/>
    <x v="1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n v="1"/>
    <s v="CA-2016-152156"/>
    <x v="0"/>
    <x v="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14"/>
    <s v="CA-2016-161389"/>
    <x v="1"/>
    <x v="1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36"/>
    <s v="CA-2016-117590"/>
    <x v="2"/>
    <x v="1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68"/>
    <s v="CA-2014-106376"/>
    <x v="3"/>
    <x v="2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70"/>
    <s v="CA-2016-119823"/>
    <x v="4"/>
    <x v="3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6"/>
    <s v="US-2017-118038"/>
    <x v="5"/>
    <x v="4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84"/>
    <s v="CA-2015-149734"/>
    <x v="6"/>
    <x v="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9"/>
    <s v="CA-2016-159695"/>
    <x v="7"/>
    <x v="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6"/>
    <s v="US-2017-109484"/>
    <x v="8"/>
    <x v="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9"/>
    <x v="8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9"/>
    <s v="CA-2016-149223"/>
    <x v="10"/>
    <x v="9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3"/>
    <s v="CA-2016-129903"/>
    <x v="11"/>
    <x v="1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12"/>
    <s v="CA-2016-128867"/>
    <x v="12"/>
    <x v="11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8"/>
    <s v="CA-2015-110457"/>
    <x v="13"/>
    <x v="12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14"/>
    <x v="13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7"/>
    <s v="US-2017-107272"/>
    <x v="15"/>
    <x v="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31"/>
    <s v="US-2017-164147"/>
    <x v="16"/>
    <x v="14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41"/>
    <s v="CA-2016-110366"/>
    <x v="17"/>
    <x v="15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8"/>
    <s v="CA-2016-114489"/>
    <x v="1"/>
    <x v="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61"/>
    <s v="CA-2016-162733"/>
    <x v="18"/>
    <x v="17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4"/>
    <s v="CA-2016-113817"/>
    <x v="19"/>
    <x v="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20"/>
    <x v="18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72"/>
    <s v="CA-2014-118962"/>
    <x v="21"/>
    <x v="19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81"/>
    <s v="CA-2014-166191"/>
    <x v="3"/>
    <x v="2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202"/>
    <s v="CA-2014-133690"/>
    <x v="22"/>
    <x v="21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5"/>
    <s v="CA-2017-126382"/>
    <x v="23"/>
    <x v="22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7"/>
    <s v="CA-2017-135860"/>
    <x v="24"/>
    <x v="23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13"/>
    <s v="CA-2015-146262"/>
    <x v="25"/>
    <x v="24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38"/>
    <s v="CA-2016-157749"/>
    <x v="4"/>
    <x v="25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59"/>
    <s v="CA-2017-163139"/>
    <x v="24"/>
    <x v="26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2"/>
    <s v="US-2017-155299"/>
    <x v="26"/>
    <x v="2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83"/>
    <s v="CA-2015-130890"/>
    <x v="27"/>
    <x v="28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305"/>
    <s v="CA-2015-144253"/>
    <x v="28"/>
    <x v="29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7"/>
    <s v="CA-2014-111003"/>
    <x v="29"/>
    <x v="3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18"/>
    <s v="CA-2014-164973"/>
    <x v="30"/>
    <x v="31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26"/>
    <s v="CA-2017-153339"/>
    <x v="31"/>
    <x v="32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35"/>
    <s v="CA-2015-137946"/>
    <x v="32"/>
    <x v="33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47"/>
    <s v="CA-2017-134306"/>
    <x v="33"/>
    <x v="34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60"/>
    <s v="CA-2017-155698"/>
    <x v="34"/>
    <x v="35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87"/>
    <s v="CA-2015-122756"/>
    <x v="35"/>
    <x v="36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94"/>
    <s v="US-2014-134971"/>
    <x v="36"/>
    <x v="37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9"/>
    <s v="CA-2016-108987"/>
    <x v="37"/>
    <x v="38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6"/>
    <s v="CA-2017-117457"/>
    <x v="38"/>
    <x v="39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15"/>
    <s v="CA-2017-142636"/>
    <x v="31"/>
    <x v="4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29"/>
    <s v="CA-2017-152275"/>
    <x v="39"/>
    <x v="41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48"/>
    <s v="CA-2016-166674"/>
    <x v="40"/>
    <x v="42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72"/>
    <s v="CA-2014-144666"/>
    <x v="41"/>
    <x v="43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82"/>
    <s v="CA-2014-134677"/>
    <x v="42"/>
    <x v="4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529"/>
    <s v="US-2015-138303"/>
    <x v="6"/>
    <x v="4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2"/>
    <s v="CA-2015-102848"/>
    <x v="43"/>
    <x v="46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44"/>
    <x v="4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7"/>
    <s v="US-2017-122637"/>
    <x v="45"/>
    <x v="48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9"/>
    <s v="CA-2015-134894"/>
    <x v="46"/>
    <x v="49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1"/>
    <s v="CA-2014-140795"/>
    <x v="47"/>
    <x v="5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56"/>
    <s v="CA-2014-155852"/>
    <x v="48"/>
    <x v="51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64"/>
    <s v="CA-2015-130736"/>
    <x v="46"/>
    <x v="52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6"/>
    <s v="CA-2017-137099"/>
    <x v="49"/>
    <x v="53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39"/>
    <x v="41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75"/>
    <s v="CA-2016-127250"/>
    <x v="12"/>
    <x v="54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87"/>
    <s v="CA-2015-128139"/>
    <x v="50"/>
    <x v="5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636"/>
    <s v="CA-2015-168004"/>
    <x v="51"/>
    <x v="56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66"/>
    <s v="CA-2017-132682"/>
    <x v="26"/>
    <x v="5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74"/>
    <s v="CA-2017-130351"/>
    <x v="52"/>
    <x v="58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84"/>
    <s v="US-2017-168116"/>
    <x v="53"/>
    <x v="59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6"/>
    <s v="CA-2014-157784"/>
    <x v="54"/>
    <x v="6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708"/>
    <s v="CA-2014-112158"/>
    <x v="55"/>
    <x v="61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12"/>
    <s v="CA-2017-146136"/>
    <x v="45"/>
    <x v="62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9"/>
    <s v="CA-2014-104472"/>
    <x v="56"/>
    <x v="63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5"/>
    <s v="CA-2016-114713"/>
    <x v="57"/>
    <x v="64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8"/>
    <s v="US-2016-150861"/>
    <x v="58"/>
    <x v="65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40"/>
    <s v="CA-2014-112326"/>
    <x v="59"/>
    <x v="66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50"/>
    <s v="CA-2017-126074"/>
    <x v="60"/>
    <x v="6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4"/>
    <s v="CA-2016-110499"/>
    <x v="61"/>
    <x v="68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82"/>
    <s v="US-2015-157014"/>
    <x v="62"/>
    <x v="69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838"/>
    <s v="US-2017-156083"/>
    <x v="53"/>
    <x v="8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43"/>
    <s v="CA-2016-161669"/>
    <x v="19"/>
    <x v="7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9"/>
    <s v="CA-2017-107503"/>
    <x v="63"/>
    <x v="71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64"/>
    <x v="72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6"/>
    <s v="CA-2014-125612"/>
    <x v="22"/>
    <x v="73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69"/>
    <s v="CA-2014-136742"/>
    <x v="65"/>
    <x v="7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66"/>
    <x v="75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95"/>
    <s v="CA-2016-105494"/>
    <x v="67"/>
    <x v="7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7"/>
    <s v="CA-2016-140634"/>
    <x v="68"/>
    <x v="77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900"/>
    <s v="US-2016-114622"/>
    <x v="69"/>
    <x v="78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10"/>
    <s v="CA-2017-137596"/>
    <x v="70"/>
    <x v="62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9"/>
    <s v="CA-2016-165218"/>
    <x v="71"/>
    <x v="79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8"/>
    <s v="CA-2015-115091"/>
    <x v="72"/>
    <x v="56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33"/>
    <s v="CA-2017-114216"/>
    <x v="70"/>
    <x v="8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53"/>
    <s v="CA-2017-131156"/>
    <x v="73"/>
    <x v="81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65"/>
    <s v="CA-2017-135279"/>
    <x v="74"/>
    <x v="82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88"/>
    <s v="CA-2015-146829"/>
    <x v="75"/>
    <x v="83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1007"/>
    <s v="CA-2015-105312"/>
    <x v="76"/>
    <x v="46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17"/>
    <s v="CA-2015-108665"/>
    <x v="77"/>
    <x v="84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42"/>
    <s v="CA-2016-102981"/>
    <x v="10"/>
    <x v="85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4"/>
    <s v="CA-2017-115651"/>
    <x v="78"/>
    <x v="34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51"/>
    <s v="US-2015-153500"/>
    <x v="50"/>
    <x v="86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4"/>
    <s v="CA-2015-110667"/>
    <x v="79"/>
    <x v="87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147"/>
    <s v="CA-2015-112452"/>
    <x v="79"/>
    <x v="88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62"/>
    <s v="CA-2014-126522"/>
    <x v="80"/>
    <x v="89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48"/>
    <x v="9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206"/>
    <s v="CA-2017-133235"/>
    <x v="81"/>
    <x v="91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66"/>
    <s v="CA-2017-110380"/>
    <x v="70"/>
    <x v="62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70"/>
    <s v="CA-2017-100426"/>
    <x v="82"/>
    <x v="92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8"/>
    <s v="CA-2016-148698"/>
    <x v="83"/>
    <x v="93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99"/>
    <s v="CA-2016-134425"/>
    <x v="2"/>
    <x v="94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4"/>
    <s v="US-2017-126179"/>
    <x v="84"/>
    <x v="95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23"/>
    <s v="CA-2017-121804"/>
    <x v="85"/>
    <x v="96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86"/>
    <x v="9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31"/>
    <s v="CA-2017-127705"/>
    <x v="87"/>
    <x v="98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7"/>
    <s v="US-2017-123281"/>
    <x v="88"/>
    <x v="81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41"/>
    <s v="CA-2017-113481"/>
    <x v="89"/>
    <x v="99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51"/>
    <s v="CA-2014-153976"/>
    <x v="90"/>
    <x v="1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8"/>
    <s v="CA-2016-145247"/>
    <x v="91"/>
    <x v="93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72"/>
    <s v="CA-2017-136672"/>
    <x v="92"/>
    <x v="101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82"/>
    <s v="US-2016-100566"/>
    <x v="66"/>
    <x v="85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93"/>
    <x v="102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94"/>
    <s v="CA-2017-124828"/>
    <x v="84"/>
    <x v="103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401"/>
    <s v="CA-2016-159212"/>
    <x v="94"/>
    <x v="104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43"/>
    <s v="CA-2017-117695"/>
    <x v="95"/>
    <x v="105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87"/>
    <s v="CA-2015-140410"/>
    <x v="96"/>
    <x v="106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96"/>
    <s v="CA-2017-152485"/>
    <x v="97"/>
    <x v="48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505"/>
    <s v="CA-2015-153388"/>
    <x v="98"/>
    <x v="107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22"/>
    <s v="CA-2015-144806"/>
    <x v="99"/>
    <x v="49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44"/>
    <s v="CA-2014-107181"/>
    <x v="100"/>
    <x v="108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64"/>
    <s v="CA-2015-158554"/>
    <x v="101"/>
    <x v="46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674"/>
    <s v="CA-2015-150560"/>
    <x v="102"/>
    <x v="109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704"/>
    <s v="CA-2014-139857"/>
    <x v="103"/>
    <x v="11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64"/>
    <s v="CA-2016-110254"/>
    <x v="104"/>
    <x v="111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828"/>
    <s v="CA-2016-109344"/>
    <x v="105"/>
    <x v="112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95"/>
    <s v="US-2017-108063"/>
    <x v="106"/>
    <x v="113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7"/>
    <s v="CA-2017-141789"/>
    <x v="107"/>
    <x v="6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923"/>
    <s v="CA-2016-156685"/>
    <x v="108"/>
    <x v="114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38"/>
    <s v="CA-2016-112109"/>
    <x v="108"/>
    <x v="64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96"/>
    <s v="US-2017-147221"/>
    <x v="106"/>
    <x v="115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2012"/>
    <s v="CA-2015-155761"/>
    <x v="102"/>
    <x v="49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173"/>
    <s v="CA-2014-152296"/>
    <x v="109"/>
    <x v="116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222"/>
    <s v="CA-2015-131884"/>
    <x v="99"/>
    <x v="117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60"/>
    <s v="CA-2015-117611"/>
    <x v="110"/>
    <x v="118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7"/>
    <s v="CA-2017-149146"/>
    <x v="111"/>
    <x v="119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86"/>
    <s v="CA-2016-112676"/>
    <x v="91"/>
    <x v="12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90"/>
    <s v="CA-2017-115154"/>
    <x v="112"/>
    <x v="121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309"/>
    <s v="US-2017-120418"/>
    <x v="113"/>
    <x v="2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90"/>
    <s v="US-2015-127040"/>
    <x v="99"/>
    <x v="122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412"/>
    <s v="CA-2015-142041"/>
    <x v="114"/>
    <x v="123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78"/>
    <s v="CA-2017-102750"/>
    <x v="97"/>
    <x v="48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623"/>
    <s v="CA-2014-164861"/>
    <x v="115"/>
    <x v="12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71"/>
    <s v="CA-2014-126403"/>
    <x v="116"/>
    <x v="18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5"/>
    <s v="CA-2017-136875"/>
    <x v="117"/>
    <x v="26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96"/>
    <s v="CA-2016-161662"/>
    <x v="118"/>
    <x v="125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724"/>
    <s v="CA-2014-153479"/>
    <x v="119"/>
    <x v="1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43"/>
    <s v="CA-2014-149244"/>
    <x v="30"/>
    <x v="126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9"/>
    <s v="CA-2015-110247"/>
    <x v="120"/>
    <x v="127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69"/>
    <s v="US-2015-122140"/>
    <x v="121"/>
    <x v="128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820"/>
    <s v="CA-2016-160500"/>
    <x v="91"/>
    <x v="12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3005"/>
    <s v="CA-2016-131499"/>
    <x v="37"/>
    <x v="38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62"/>
    <s v="CA-2017-127621"/>
    <x v="85"/>
    <x v="129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127"/>
    <s v="CA-2017-149895"/>
    <x v="122"/>
    <x v="13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56"/>
    <s v="CA-2014-128986"/>
    <x v="22"/>
    <x v="21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244"/>
    <s v="CA-2017-113355"/>
    <x v="24"/>
    <x v="113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378"/>
    <s v="CA-2016-100671"/>
    <x v="94"/>
    <x v="131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447"/>
    <s v="CA-2016-158869"/>
    <x v="123"/>
    <x v="132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503"/>
    <s v="CA-2017-125115"/>
    <x v="124"/>
    <x v="133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632"/>
    <s v="CA-2017-132178"/>
    <x v="125"/>
    <x v="134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735"/>
    <s v="CA-2017-168193"/>
    <x v="126"/>
    <x v="35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904"/>
    <s v="CA-2015-167010"/>
    <x v="14"/>
    <x v="13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95"/>
    <s v="CA-2015-105627"/>
    <x v="127"/>
    <x v="13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4182"/>
    <s v="US-2017-136868"/>
    <x v="128"/>
    <x v="119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353"/>
    <s v="CA-2017-107748"/>
    <x v="129"/>
    <x v="39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722"/>
    <s v="CA-2014-106229"/>
    <x v="36"/>
    <x v="136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69"/>
    <s v="CA-2017-158883"/>
    <x v="87"/>
    <x v="13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962"/>
    <s v="CA-2014-156587"/>
    <x v="130"/>
    <x v="9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5083"/>
    <s v="CA-2016-155138"/>
    <x v="37"/>
    <x v="138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382"/>
    <s v="CA-2016-149195"/>
    <x v="17"/>
    <x v="15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503"/>
    <s v="CA-2017-127782"/>
    <x v="131"/>
    <x v="139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31"/>
    <s v="CA-2017-160885"/>
    <x v="106"/>
    <x v="14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888"/>
    <s v="CA-2017-151596"/>
    <x v="132"/>
    <x v="141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m/>
    <m/>
    <x v="133"/>
    <x v="14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8E44B-EA40-402A-B7EA-9767FA6F964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 sortType="ascending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8"/>
        <item x="3"/>
        <item x="1"/>
        <item x="0"/>
        <item x="12"/>
        <item x="16"/>
        <item x="5"/>
        <item x="14"/>
        <item x="7"/>
        <item x="10"/>
        <item x="13"/>
        <item x="4"/>
        <item x="2"/>
        <item x="6"/>
        <item x="15"/>
        <item x="9"/>
        <item t="default"/>
      </items>
    </pivotField>
    <pivotField showAll="0"/>
    <pivotField dataField="1" showAll="0">
      <items count="172">
        <item x="90"/>
        <item x="5"/>
        <item x="30"/>
        <item x="15"/>
        <item x="108"/>
        <item x="168"/>
        <item x="55"/>
        <item x="36"/>
        <item x="137"/>
        <item x="8"/>
        <item x="19"/>
        <item x="142"/>
        <item x="101"/>
        <item x="44"/>
        <item x="121"/>
        <item x="91"/>
        <item x="143"/>
        <item x="37"/>
        <item x="138"/>
        <item x="149"/>
        <item x="58"/>
        <item x="94"/>
        <item x="83"/>
        <item x="47"/>
        <item x="116"/>
        <item x="74"/>
        <item x="89"/>
        <item x="21"/>
        <item x="99"/>
        <item x="120"/>
        <item x="158"/>
        <item x="107"/>
        <item x="96"/>
        <item x="124"/>
        <item x="70"/>
        <item x="87"/>
        <item x="126"/>
        <item x="40"/>
        <item x="102"/>
        <item x="118"/>
        <item x="92"/>
        <item x="139"/>
        <item x="147"/>
        <item x="82"/>
        <item x="35"/>
        <item x="54"/>
        <item x="135"/>
        <item x="132"/>
        <item x="29"/>
        <item x="22"/>
        <item x="117"/>
        <item x="27"/>
        <item x="61"/>
        <item x="11"/>
        <item x="105"/>
        <item x="66"/>
        <item x="23"/>
        <item x="109"/>
        <item x="166"/>
        <item x="88"/>
        <item x="28"/>
        <item x="160"/>
        <item x="32"/>
        <item x="152"/>
        <item x="20"/>
        <item x="146"/>
        <item x="93"/>
        <item x="73"/>
        <item x="150"/>
        <item x="129"/>
        <item x="127"/>
        <item x="25"/>
        <item x="148"/>
        <item x="41"/>
        <item x="48"/>
        <item x="75"/>
        <item x="78"/>
        <item x="51"/>
        <item x="170"/>
        <item x="79"/>
        <item x="33"/>
        <item x="68"/>
        <item x="86"/>
        <item x="50"/>
        <item x="167"/>
        <item x="76"/>
        <item x="113"/>
        <item x="98"/>
        <item x="71"/>
        <item x="45"/>
        <item x="67"/>
        <item x="16"/>
        <item x="62"/>
        <item x="159"/>
        <item x="157"/>
        <item x="59"/>
        <item x="106"/>
        <item x="4"/>
        <item x="12"/>
        <item x="10"/>
        <item x="112"/>
        <item x="115"/>
        <item x="17"/>
        <item x="123"/>
        <item x="26"/>
        <item x="114"/>
        <item x="103"/>
        <item x="57"/>
        <item x="154"/>
        <item x="164"/>
        <item x="9"/>
        <item x="161"/>
        <item x="156"/>
        <item x="104"/>
        <item x="77"/>
        <item x="65"/>
        <item x="34"/>
        <item x="43"/>
        <item x="85"/>
        <item x="52"/>
        <item x="81"/>
        <item x="14"/>
        <item x="7"/>
        <item x="134"/>
        <item x="145"/>
        <item x="95"/>
        <item x="42"/>
        <item x="69"/>
        <item x="49"/>
        <item x="125"/>
        <item x="6"/>
        <item x="122"/>
        <item x="151"/>
        <item x="24"/>
        <item x="155"/>
        <item x="111"/>
        <item x="153"/>
        <item x="0"/>
        <item x="165"/>
        <item x="100"/>
        <item x="141"/>
        <item x="133"/>
        <item x="163"/>
        <item x="46"/>
        <item x="56"/>
        <item x="18"/>
        <item x="60"/>
        <item x="1"/>
        <item x="53"/>
        <item x="64"/>
        <item x="39"/>
        <item x="136"/>
        <item x="162"/>
        <item x="97"/>
        <item x="38"/>
        <item x="110"/>
        <item x="13"/>
        <item x="131"/>
        <item x="140"/>
        <item x="31"/>
        <item x="2"/>
        <item x="3"/>
        <item x="128"/>
        <item x="80"/>
        <item x="84"/>
        <item x="72"/>
        <item x="119"/>
        <item x="144"/>
        <item x="130"/>
        <item x="169"/>
        <item x="63"/>
        <item t="default"/>
      </items>
    </pivotField>
    <pivotField showAll="0"/>
    <pivotField showAll="0"/>
    <pivotField dataField="1" showAll="0">
      <items count="176">
        <item x="63"/>
        <item x="133"/>
        <item x="80"/>
        <item x="39"/>
        <item x="167"/>
        <item x="24"/>
        <item x="14"/>
        <item x="144"/>
        <item x="114"/>
        <item x="136"/>
        <item x="151"/>
        <item x="111"/>
        <item x="51"/>
        <item x="155"/>
        <item x="79"/>
        <item x="95"/>
        <item x="110"/>
        <item x="73"/>
        <item x="40"/>
        <item x="132"/>
        <item x="16"/>
        <item x="48"/>
        <item x="83"/>
        <item x="150"/>
        <item x="30"/>
        <item x="8"/>
        <item x="5"/>
        <item x="90"/>
        <item x="15"/>
        <item x="108"/>
        <item x="55"/>
        <item x="44"/>
        <item x="172"/>
        <item x="35"/>
        <item x="116"/>
        <item x="36"/>
        <item x="115"/>
        <item x="101"/>
        <item x="23"/>
        <item x="47"/>
        <item x="61"/>
        <item x="104"/>
        <item x="152"/>
        <item x="58"/>
        <item x="50"/>
        <item x="137"/>
        <item x="91"/>
        <item x="143"/>
        <item x="138"/>
        <item x="19"/>
        <item x="21"/>
        <item x="94"/>
        <item x="37"/>
        <item x="142"/>
        <item x="120"/>
        <item x="74"/>
        <item x="121"/>
        <item x="54"/>
        <item x="46"/>
        <item x="107"/>
        <item x="41"/>
        <item x="160"/>
        <item x="87"/>
        <item x="124"/>
        <item x="70"/>
        <item x="96"/>
        <item x="99"/>
        <item x="89"/>
        <item x="113"/>
        <item x="59"/>
        <item x="82"/>
        <item x="68"/>
        <item x="139"/>
        <item x="103"/>
        <item x="169"/>
        <item x="105"/>
        <item x="102"/>
        <item x="126"/>
        <item x="26"/>
        <item x="117"/>
        <item x="118"/>
        <item x="109"/>
        <item x="92"/>
        <item x="148"/>
        <item x="135"/>
        <item x="29"/>
        <item x="158"/>
        <item x="88"/>
        <item x="170"/>
        <item x="76"/>
        <item x="66"/>
        <item x="27"/>
        <item x="171"/>
        <item x="168"/>
        <item x="28"/>
        <item x="25"/>
        <item x="20"/>
        <item x="154"/>
        <item x="22"/>
        <item x="17"/>
        <item x="129"/>
        <item x="127"/>
        <item x="147"/>
        <item x="174"/>
        <item x="93"/>
        <item x="75"/>
        <item x="11"/>
        <item x="49"/>
        <item x="162"/>
        <item x="145"/>
        <item x="32"/>
        <item x="86"/>
        <item x="149"/>
        <item x="7"/>
        <item x="45"/>
        <item x="98"/>
        <item x="62"/>
        <item x="100"/>
        <item x="163"/>
        <item x="78"/>
        <item x="67"/>
        <item x="161"/>
        <item x="106"/>
        <item x="33"/>
        <item x="10"/>
        <item x="12"/>
        <item x="34"/>
        <item x="157"/>
        <item x="71"/>
        <item x="123"/>
        <item x="159"/>
        <item x="156"/>
        <item x="166"/>
        <item x="141"/>
        <item x="4"/>
        <item x="134"/>
        <item x="112"/>
        <item x="42"/>
        <item x="9"/>
        <item x="52"/>
        <item x="0"/>
        <item x="81"/>
        <item x="60"/>
        <item x="57"/>
        <item x="56"/>
        <item x="122"/>
        <item x="77"/>
        <item x="85"/>
        <item x="31"/>
        <item x="65"/>
        <item x="153"/>
        <item x="6"/>
        <item x="43"/>
        <item x="146"/>
        <item x="140"/>
        <item x="69"/>
        <item x="125"/>
        <item x="164"/>
        <item x="18"/>
        <item x="119"/>
        <item x="97"/>
        <item x="131"/>
        <item x="3"/>
        <item x="165"/>
        <item x="2"/>
        <item x="128"/>
        <item x="1"/>
        <item x="64"/>
        <item x="13"/>
        <item x="38"/>
        <item x="53"/>
        <item x="84"/>
        <item x="72"/>
        <item x="173"/>
        <item x="130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8AF39-A3AB-4D1A-9DD8-38F57596F6A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8" firstHeaderRow="1" firstDataRow="1" firstDataCol="1"/>
  <pivotFields count="27">
    <pivotField showAll="0"/>
    <pivotField showAll="0"/>
    <pivotField axis="axisRow" showAll="0">
      <items count="135">
        <item x="47"/>
        <item x="29"/>
        <item x="109"/>
        <item x="80"/>
        <item x="103"/>
        <item x="56"/>
        <item x="55"/>
        <item x="48"/>
        <item x="22"/>
        <item x="90"/>
        <item x="115"/>
        <item x="59"/>
        <item x="100"/>
        <item x="119"/>
        <item x="30"/>
        <item x="54"/>
        <item x="21"/>
        <item x="3"/>
        <item x="65"/>
        <item x="42"/>
        <item x="64"/>
        <item x="130"/>
        <item x="36"/>
        <item x="20"/>
        <item x="116"/>
        <item x="41"/>
        <item x="98"/>
        <item x="32"/>
        <item x="25"/>
        <item x="13"/>
        <item x="121"/>
        <item x="27"/>
        <item x="50"/>
        <item x="6"/>
        <item x="62"/>
        <item x="96"/>
        <item x="35"/>
        <item x="79"/>
        <item x="28"/>
        <item x="51"/>
        <item x="120"/>
        <item x="14"/>
        <item x="72"/>
        <item x="77"/>
        <item x="76"/>
        <item x="99"/>
        <item x="114"/>
        <item x="43"/>
        <item x="46"/>
        <item x="127"/>
        <item x="110"/>
        <item x="101"/>
        <item x="75"/>
        <item x="102"/>
        <item x="40"/>
        <item x="94"/>
        <item x="11"/>
        <item x="83"/>
        <item x="66"/>
        <item x="68"/>
        <item x="12"/>
        <item x="58"/>
        <item x="4"/>
        <item x="104"/>
        <item x="93"/>
        <item x="71"/>
        <item x="7"/>
        <item x="91"/>
        <item x="17"/>
        <item x="1"/>
        <item x="123"/>
        <item x="10"/>
        <item x="118"/>
        <item x="61"/>
        <item x="57"/>
        <item x="19"/>
        <item x="105"/>
        <item x="108"/>
        <item x="37"/>
        <item x="0"/>
        <item x="2"/>
        <item x="69"/>
        <item x="67"/>
        <item x="18"/>
        <item x="63"/>
        <item x="81"/>
        <item x="39"/>
        <item x="24"/>
        <item x="89"/>
        <item x="16"/>
        <item x="88"/>
        <item x="87"/>
        <item x="70"/>
        <item x="60"/>
        <item x="131"/>
        <item x="106"/>
        <item x="85"/>
        <item x="73"/>
        <item x="125"/>
        <item x="23"/>
        <item x="84"/>
        <item x="45"/>
        <item x="107"/>
        <item x="31"/>
        <item x="117"/>
        <item x="82"/>
        <item x="97"/>
        <item x="53"/>
        <item x="95"/>
        <item x="15"/>
        <item x="52"/>
        <item x="126"/>
        <item x="128"/>
        <item x="8"/>
        <item x="92"/>
        <item x="44"/>
        <item x="49"/>
        <item x="112"/>
        <item x="34"/>
        <item x="26"/>
        <item x="33"/>
        <item x="122"/>
        <item x="132"/>
        <item x="38"/>
        <item x="74"/>
        <item x="78"/>
        <item x="86"/>
        <item x="9"/>
        <item x="5"/>
        <item x="124"/>
        <item x="129"/>
        <item x="113"/>
        <item x="111"/>
        <item x="133"/>
        <item t="default"/>
      </items>
    </pivotField>
    <pivotField showAll="0">
      <items count="144">
        <item x="50"/>
        <item x="116"/>
        <item x="61"/>
        <item x="21"/>
        <item x="89"/>
        <item x="110"/>
        <item x="30"/>
        <item x="124"/>
        <item x="51"/>
        <item x="63"/>
        <item x="66"/>
        <item x="108"/>
        <item x="90"/>
        <item x="60"/>
        <item x="73"/>
        <item x="100"/>
        <item x="126"/>
        <item x="19"/>
        <item x="31"/>
        <item x="20"/>
        <item x="74"/>
        <item x="37"/>
        <item x="44"/>
        <item x="2"/>
        <item x="136"/>
        <item x="43"/>
        <item x="72"/>
        <item x="18"/>
        <item x="88"/>
        <item x="33"/>
        <item x="86"/>
        <item x="12"/>
        <item x="69"/>
        <item x="28"/>
        <item x="117"/>
        <item x="128"/>
        <item x="107"/>
        <item x="45"/>
        <item x="106"/>
        <item x="36"/>
        <item x="87"/>
        <item x="5"/>
        <item x="127"/>
        <item x="24"/>
        <item x="29"/>
        <item x="123"/>
        <item x="55"/>
        <item x="56"/>
        <item x="46"/>
        <item x="52"/>
        <item x="83"/>
        <item x="13"/>
        <item x="84"/>
        <item x="118"/>
        <item x="122"/>
        <item x="49"/>
        <item x="135"/>
        <item x="109"/>
        <item x="42"/>
        <item x="131"/>
        <item x="10"/>
        <item x="102"/>
        <item x="75"/>
        <item x="104"/>
        <item x="3"/>
        <item x="77"/>
        <item x="65"/>
        <item x="93"/>
        <item x="132"/>
        <item x="15"/>
        <item x="54"/>
        <item x="120"/>
        <item x="111"/>
        <item x="125"/>
        <item x="68"/>
        <item x="25"/>
        <item x="85"/>
        <item x="70"/>
        <item x="16"/>
        <item x="6"/>
        <item x="114"/>
        <item x="38"/>
        <item x="11"/>
        <item x="1"/>
        <item x="112"/>
        <item x="79"/>
        <item x="9"/>
        <item x="0"/>
        <item x="78"/>
        <item x="17"/>
        <item x="64"/>
        <item x="138"/>
        <item x="76"/>
        <item x="94"/>
        <item x="137"/>
        <item x="26"/>
        <item x="99"/>
        <item x="103"/>
        <item x="91"/>
        <item x="59"/>
        <item x="115"/>
        <item x="14"/>
        <item x="32"/>
        <item x="113"/>
        <item x="71"/>
        <item x="98"/>
        <item x="80"/>
        <item x="67"/>
        <item x="139"/>
        <item x="140"/>
        <item x="129"/>
        <item x="81"/>
        <item x="22"/>
        <item x="95"/>
        <item x="62"/>
        <item x="40"/>
        <item x="23"/>
        <item x="96"/>
        <item x="134"/>
        <item x="92"/>
        <item x="105"/>
        <item x="48"/>
        <item x="41"/>
        <item x="58"/>
        <item x="133"/>
        <item x="57"/>
        <item x="97"/>
        <item x="53"/>
        <item x="121"/>
        <item x="35"/>
        <item x="82"/>
        <item x="47"/>
        <item x="141"/>
        <item x="8"/>
        <item x="4"/>
        <item x="101"/>
        <item x="27"/>
        <item x="34"/>
        <item x="130"/>
        <item x="119"/>
        <item x="7"/>
        <item x="39"/>
        <item x="1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sd="0" x="5"/>
        <item t="default"/>
      </items>
    </pivotField>
  </pivotFields>
  <rowFields count="4">
    <field x="26"/>
    <field x="25"/>
    <field x="24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A44C-72D5-4A62-B2FA-C08680880CD7}">
  <dimension ref="A3:C21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  <col min="4" max="4" width="10.6640625" bestFit="1" customWidth="1"/>
    <col min="5" max="5" width="10" bestFit="1" customWidth="1"/>
    <col min="6" max="6" width="11.6640625" bestFit="1" customWidth="1"/>
    <col min="7" max="7" width="9" bestFit="1" customWidth="1"/>
    <col min="8" max="9" width="10" bestFit="1" customWidth="1"/>
    <col min="10" max="10" width="16.88671875" bestFit="1" customWidth="1"/>
    <col min="11" max="11" width="16.44140625" bestFit="1" customWidth="1"/>
    <col min="12" max="12" width="9" bestFit="1" customWidth="1"/>
    <col min="13" max="13" width="10.6640625" bestFit="1" customWidth="1"/>
    <col min="14" max="14" width="9" bestFit="1" customWidth="1"/>
    <col min="15" max="15" width="10" bestFit="1" customWidth="1"/>
    <col min="16" max="16" width="9" bestFit="1" customWidth="1"/>
    <col min="17" max="17" width="8" bestFit="1" customWidth="1"/>
    <col min="18" max="18" width="9.6640625" bestFit="1" customWidth="1"/>
    <col min="19" max="19" width="11.6640625" bestFit="1" customWidth="1"/>
    <col min="20" max="20" width="10.109375" bestFit="1" customWidth="1"/>
    <col min="21" max="22" width="9" bestFit="1" customWidth="1"/>
    <col min="23" max="23" width="9.77734375" bestFit="1" customWidth="1"/>
    <col min="24" max="25" width="9" bestFit="1" customWidth="1"/>
    <col min="26" max="26" width="9.5546875" bestFit="1" customWidth="1"/>
    <col min="27" max="27" width="8.88671875" bestFit="1" customWidth="1"/>
    <col min="28" max="28" width="10.44140625" bestFit="1" customWidth="1"/>
    <col min="29" max="29" width="8" bestFit="1" customWidth="1"/>
    <col min="30" max="30" width="9.109375" bestFit="1" customWidth="1"/>
    <col min="31" max="31" width="9" bestFit="1" customWidth="1"/>
    <col min="32" max="32" width="10" bestFit="1" customWidth="1"/>
    <col min="33" max="33" width="9" bestFit="1" customWidth="1"/>
    <col min="34" max="34" width="8" bestFit="1" customWidth="1"/>
    <col min="35" max="35" width="9" bestFit="1" customWidth="1"/>
    <col min="36" max="36" width="16.88671875" bestFit="1" customWidth="1"/>
    <col min="37" max="37" width="16.44140625" bestFit="1" customWidth="1"/>
    <col min="38" max="41" width="7" bestFit="1" customWidth="1"/>
    <col min="42" max="44" width="6" bestFit="1" customWidth="1"/>
    <col min="45" max="45" width="7" bestFit="1" customWidth="1"/>
    <col min="46" max="46" width="6" bestFit="1" customWidth="1"/>
    <col min="47" max="47" width="4" bestFit="1" customWidth="1"/>
    <col min="48" max="49" width="6" bestFit="1" customWidth="1"/>
    <col min="50" max="50" width="7" bestFit="1" customWidth="1"/>
    <col min="51" max="51" width="6" bestFit="1" customWidth="1"/>
    <col min="52" max="55" width="7" bestFit="1" customWidth="1"/>
    <col min="56" max="56" width="6" bestFit="1" customWidth="1"/>
    <col min="57" max="57" width="7" bestFit="1" customWidth="1"/>
    <col min="58" max="58" width="5" bestFit="1" customWidth="1"/>
    <col min="59" max="69" width="7" bestFit="1" customWidth="1"/>
    <col min="70" max="70" width="6" bestFit="1" customWidth="1"/>
    <col min="71" max="74" width="7" bestFit="1" customWidth="1"/>
    <col min="75" max="75" width="6" bestFit="1" customWidth="1"/>
    <col min="76" max="77" width="7" bestFit="1" customWidth="1"/>
    <col min="78" max="78" width="6" bestFit="1" customWidth="1"/>
    <col min="79" max="80" width="7" bestFit="1" customWidth="1"/>
    <col min="81" max="81" width="6" bestFit="1" customWidth="1"/>
    <col min="82" max="92" width="7" bestFit="1" customWidth="1"/>
    <col min="93" max="93" width="5" bestFit="1" customWidth="1"/>
    <col min="94" max="94" width="6" bestFit="1" customWidth="1"/>
    <col min="95" max="95" width="7" bestFit="1" customWidth="1"/>
    <col min="96" max="96" width="6" bestFit="1" customWidth="1"/>
    <col min="97" max="97" width="7" bestFit="1" customWidth="1"/>
    <col min="98" max="99" width="6" bestFit="1" customWidth="1"/>
    <col min="100" max="100" width="7" bestFit="1" customWidth="1"/>
    <col min="101" max="101" width="6" bestFit="1" customWidth="1"/>
    <col min="102" max="103" width="7" bestFit="1" customWidth="1"/>
    <col min="104" max="105" width="8" bestFit="1" customWidth="1"/>
    <col min="106" max="106" width="7" bestFit="1" customWidth="1"/>
    <col min="107" max="107" width="5" bestFit="1" customWidth="1"/>
    <col min="108" max="108" width="8" bestFit="1" customWidth="1"/>
    <col min="109" max="109" width="6" bestFit="1" customWidth="1"/>
    <col min="110" max="111" width="8" bestFit="1" customWidth="1"/>
    <col min="112" max="113" width="7" bestFit="1" customWidth="1"/>
    <col min="114" max="119" width="8" bestFit="1" customWidth="1"/>
    <col min="120" max="120" width="7" bestFit="1" customWidth="1"/>
    <col min="121" max="123" width="8" bestFit="1" customWidth="1"/>
    <col min="124" max="124" width="7" bestFit="1" customWidth="1"/>
    <col min="125" max="126" width="8" bestFit="1" customWidth="1"/>
    <col min="127" max="127" width="7" bestFit="1" customWidth="1"/>
    <col min="128" max="129" width="8" bestFit="1" customWidth="1"/>
    <col min="130" max="130" width="7" bestFit="1" customWidth="1"/>
    <col min="131" max="133" width="8" bestFit="1" customWidth="1"/>
    <col min="134" max="135" width="7" bestFit="1" customWidth="1"/>
    <col min="136" max="145" width="8" bestFit="1" customWidth="1"/>
    <col min="146" max="146" width="7" bestFit="1" customWidth="1"/>
    <col min="147" max="149" width="8" bestFit="1" customWidth="1"/>
    <col min="150" max="150" width="7" bestFit="1" customWidth="1"/>
    <col min="151" max="151" width="8" bestFit="1" customWidth="1"/>
    <col min="152" max="152" width="7" bestFit="1" customWidth="1"/>
    <col min="153" max="159" width="8" bestFit="1" customWidth="1"/>
    <col min="160" max="161" width="9" bestFit="1" customWidth="1"/>
    <col min="162" max="163" width="8" bestFit="1" customWidth="1"/>
    <col min="164" max="171" width="9" bestFit="1" customWidth="1"/>
    <col min="172" max="173" width="8" bestFit="1" customWidth="1"/>
    <col min="174" max="174" width="9" bestFit="1" customWidth="1"/>
    <col min="175" max="175" width="8" bestFit="1" customWidth="1"/>
    <col min="176" max="176" width="9" bestFit="1" customWidth="1"/>
    <col min="177" max="177" width="10.77734375" bestFit="1" customWidth="1"/>
  </cols>
  <sheetData>
    <row r="3" spans="1:3" x14ac:dyDescent="0.3">
      <c r="A3" s="1" t="s">
        <v>17</v>
      </c>
      <c r="B3" t="s">
        <v>19</v>
      </c>
      <c r="C3" t="s">
        <v>20</v>
      </c>
    </row>
    <row r="4" spans="1:3" x14ac:dyDescent="0.3">
      <c r="A4" s="2" t="s">
        <v>11</v>
      </c>
      <c r="B4" s="3">
        <v>694.11059999999998</v>
      </c>
      <c r="C4" s="3">
        <v>1989.6519999999996</v>
      </c>
    </row>
    <row r="5" spans="1:3" x14ac:dyDescent="0.3">
      <c r="A5" s="2" t="s">
        <v>8</v>
      </c>
      <c r="B5" s="3">
        <v>-394.40979999999996</v>
      </c>
      <c r="C5" s="3">
        <v>2291.0040000000004</v>
      </c>
    </row>
    <row r="6" spans="1:3" x14ac:dyDescent="0.3">
      <c r="A6" s="2" t="s">
        <v>3</v>
      </c>
      <c r="B6" s="3">
        <v>223.26180000000005</v>
      </c>
      <c r="C6" s="3">
        <v>1575.1239999999998</v>
      </c>
    </row>
    <row r="7" spans="1:3" x14ac:dyDescent="0.3">
      <c r="A7" s="2" t="s">
        <v>1</v>
      </c>
      <c r="B7" s="3">
        <v>47.588700000000081</v>
      </c>
      <c r="C7" s="3">
        <v>4030.904</v>
      </c>
    </row>
    <row r="8" spans="1:3" x14ac:dyDescent="0.3">
      <c r="A8" s="2" t="s">
        <v>0</v>
      </c>
      <c r="B8" s="3">
        <v>139.37220000000002</v>
      </c>
      <c r="C8" s="3">
        <v>774.90000000000009</v>
      </c>
    </row>
    <row r="9" spans="1:3" x14ac:dyDescent="0.3">
      <c r="A9" s="2" t="s">
        <v>12</v>
      </c>
      <c r="B9" s="3">
        <v>54.743600000000001</v>
      </c>
      <c r="C9" s="3">
        <v>1378.3049999999998</v>
      </c>
    </row>
    <row r="10" spans="1:3" x14ac:dyDescent="0.3">
      <c r="A10" s="2" t="s">
        <v>16</v>
      </c>
      <c r="B10" s="3">
        <v>374.99250000000001</v>
      </c>
      <c r="C10" s="3">
        <v>1199.9760000000001</v>
      </c>
    </row>
    <row r="11" spans="1:3" x14ac:dyDescent="0.3">
      <c r="A11" s="2" t="s">
        <v>5</v>
      </c>
      <c r="B11" s="3">
        <v>129.63980000000001</v>
      </c>
      <c r="C11" s="3">
        <v>397.512</v>
      </c>
    </row>
    <row r="12" spans="1:3" x14ac:dyDescent="0.3">
      <c r="A12" s="2" t="s">
        <v>14</v>
      </c>
      <c r="B12" s="3">
        <v>8.2044999999999995</v>
      </c>
      <c r="C12" s="3">
        <v>21.31</v>
      </c>
    </row>
    <row r="13" spans="1:3" x14ac:dyDescent="0.3">
      <c r="A13" s="2" t="s">
        <v>7</v>
      </c>
      <c r="B13" s="3">
        <v>55.083399999999997</v>
      </c>
      <c r="C13" s="3">
        <v>939.83799999999997</v>
      </c>
    </row>
    <row r="14" spans="1:3" x14ac:dyDescent="0.3">
      <c r="A14" s="2" t="s">
        <v>10</v>
      </c>
      <c r="B14" s="3">
        <v>121.0988</v>
      </c>
      <c r="C14" s="3">
        <v>256.35399999999998</v>
      </c>
    </row>
    <row r="15" spans="1:3" x14ac:dyDescent="0.3">
      <c r="A15" s="2" t="s">
        <v>13</v>
      </c>
      <c r="B15" s="3">
        <v>-4205.4564000000009</v>
      </c>
      <c r="C15" s="3">
        <v>9178.02</v>
      </c>
    </row>
    <row r="16" spans="1:3" x14ac:dyDescent="0.3">
      <c r="A16" s="2" t="s">
        <v>4</v>
      </c>
      <c r="B16" s="3">
        <v>650.88909999999998</v>
      </c>
      <c r="C16" s="3">
        <v>1453.1720000000005</v>
      </c>
    </row>
    <row r="17" spans="1:3" x14ac:dyDescent="0.3">
      <c r="A17" s="2" t="s">
        <v>2</v>
      </c>
      <c r="B17" s="3">
        <v>1623.3248000000001</v>
      </c>
      <c r="C17" s="3">
        <v>10282.342000000001</v>
      </c>
    </row>
    <row r="18" spans="1:3" x14ac:dyDescent="0.3">
      <c r="A18" s="2" t="s">
        <v>6</v>
      </c>
      <c r="B18" s="3">
        <v>102.58369999999999</v>
      </c>
      <c r="C18" s="3">
        <v>1141.0640000000001</v>
      </c>
    </row>
    <row r="19" spans="1:3" x14ac:dyDescent="0.3">
      <c r="A19" s="2" t="s">
        <v>15</v>
      </c>
      <c r="B19" s="3">
        <v>17.725200000000001</v>
      </c>
      <c r="C19" s="3">
        <v>104.40400000000001</v>
      </c>
    </row>
    <row r="20" spans="1:3" x14ac:dyDescent="0.3">
      <c r="A20" s="2" t="s">
        <v>9</v>
      </c>
      <c r="B20" s="3">
        <v>-173.12919999999997</v>
      </c>
      <c r="C20" s="3">
        <v>4529.3870000000006</v>
      </c>
    </row>
    <row r="21" spans="1:3" x14ac:dyDescent="0.3">
      <c r="A21" s="2" t="s">
        <v>18</v>
      </c>
      <c r="B21" s="3">
        <v>-530.37670000000105</v>
      </c>
      <c r="C21" s="3">
        <v>41543.268000000004</v>
      </c>
    </row>
  </sheetData>
  <conditionalFormatting sqref="B1:B3 B22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{EFE0F423-26B4-43E0-9257-046367AC33D3}</x14:id>
        </ext>
      </extLst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E0F423-26B4-43E0-9257-046367AC3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B1:B3 B22:B1048576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C52A-1107-42E9-9240-01ED030AFC3A}">
  <dimension ref="A3:B8"/>
  <sheetViews>
    <sheetView tabSelected="1" workbookViewId="0">
      <selection activeCell="J17" sqref="J1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17</v>
      </c>
      <c r="B3" t="s">
        <v>20</v>
      </c>
    </row>
    <row r="4" spans="1:2" x14ac:dyDescent="0.3">
      <c r="A4" s="2" t="s">
        <v>21</v>
      </c>
      <c r="B4" s="3">
        <v>4381.4360000000006</v>
      </c>
    </row>
    <row r="5" spans="1:2" x14ac:dyDescent="0.3">
      <c r="A5" s="2" t="s">
        <v>22</v>
      </c>
      <c r="B5" s="3">
        <v>7444.7639999999992</v>
      </c>
    </row>
    <row r="6" spans="1:2" x14ac:dyDescent="0.3">
      <c r="A6" s="2" t="s">
        <v>23</v>
      </c>
      <c r="B6" s="3">
        <v>8795.746000000001</v>
      </c>
    </row>
    <row r="7" spans="1:2" x14ac:dyDescent="0.3">
      <c r="A7" s="2" t="s">
        <v>24</v>
      </c>
      <c r="B7" s="3">
        <v>20921.321999999993</v>
      </c>
    </row>
    <row r="8" spans="1:2" x14ac:dyDescent="0.3">
      <c r="A8" s="2" t="s">
        <v>18</v>
      </c>
      <c r="B8" s="3">
        <v>41543.267999999996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FB186-9932-440F-B8ED-1033036DE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Hamitha thabeeba</dc:creator>
  <cp:lastModifiedBy>Hamitha thabeeba</cp:lastModifiedBy>
  <dcterms:created xsi:type="dcterms:W3CDTF">2025-05-01T11:09:37Z</dcterms:created>
  <dcterms:modified xsi:type="dcterms:W3CDTF">2025-05-01T15:56:09Z</dcterms:modified>
</cp:coreProperties>
</file>